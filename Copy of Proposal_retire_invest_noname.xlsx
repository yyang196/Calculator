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yang/Documents/Claude_proj/Calculator/"/>
    </mc:Choice>
  </mc:AlternateContent>
  <xr:revisionPtr revIDLastSave="0" documentId="8_{46DA2F2A-1EB8-284A-8B69-84310ACF89BA}" xr6:coauthVersionLast="47" xr6:coauthVersionMax="47" xr10:uidLastSave="{00000000-0000-0000-0000-000000000000}"/>
  <bookViews>
    <workbookView xWindow="0" yWindow="780" windowWidth="34200" windowHeight="19920" xr2:uid="{D7BAF3A0-9F6D-4A0A-9D52-2310289C3E2E}"/>
  </bookViews>
  <sheets>
    <sheet name="GRI_MR" sheetId="11" r:id="rId1"/>
    <sheet name="GRI_MS" sheetId="2" r:id="rId2"/>
    <sheet name="PLR" sheetId="3" state="hidden" r:id="rId3"/>
    <sheet name="Sheet4" sheetId="4" state="hidden" r:id="rId4"/>
    <sheet name="UT-FI-15" sheetId="13" r:id="rId5"/>
    <sheet name="UT-FI-10" sheetId="12" r:id="rId6"/>
    <sheet name="GIA_illustration (2)" sheetId="14" r:id="rId7"/>
    <sheet name="GIA_illustration" sheetId="10" r:id="rId8"/>
    <sheet name="Combi" sheetId="9" state="hidden" r:id="rId9"/>
    <sheet name="GLP3" sheetId="8" state="hidden" r:id="rId10"/>
    <sheet name="UT-FI-ver1" sheetId="7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4" l="1"/>
  <c r="D9" i="14"/>
  <c r="D6" i="14"/>
  <c r="D7" i="14" s="1"/>
  <c r="C5" i="14"/>
  <c r="E6" i="14"/>
  <c r="E7" i="14" s="1"/>
  <c r="E8" i="14" s="1"/>
  <c r="E9" i="14" s="1"/>
  <c r="E10" i="14" s="1"/>
  <c r="E11" i="14" s="1"/>
  <c r="E12" i="14" s="1"/>
  <c r="E13" i="14" s="1"/>
  <c r="E14" i="14" s="1"/>
  <c r="D7" i="2"/>
  <c r="D6" i="2"/>
  <c r="F7" i="11"/>
  <c r="F6" i="11"/>
  <c r="E7" i="11"/>
  <c r="E8" i="11" s="1"/>
  <c r="C6" i="11"/>
  <c r="C11" i="11" s="1"/>
  <c r="C7" i="11"/>
  <c r="D7" i="11"/>
  <c r="D8" i="11" s="1"/>
  <c r="D6" i="11"/>
  <c r="C5" i="10"/>
  <c r="D5" i="10" s="1"/>
  <c r="F5" i="10" s="1"/>
  <c r="E6" i="10"/>
  <c r="E7" i="10" s="1"/>
  <c r="E8" i="10" s="1"/>
  <c r="E9" i="10" s="1"/>
  <c r="E10" i="10" s="1"/>
  <c r="E11" i="10" s="1"/>
  <c r="E12" i="10" s="1"/>
  <c r="E13" i="10" s="1"/>
  <c r="E14" i="10" s="1"/>
  <c r="D6" i="10"/>
  <c r="D7" i="10" s="1"/>
  <c r="D8" i="10" s="1"/>
  <c r="D9" i="10" s="1"/>
  <c r="D10" i="10" s="1"/>
  <c r="D11" i="10" s="1"/>
  <c r="D12" i="10" s="1"/>
  <c r="D13" i="10" s="1"/>
  <c r="F7" i="2"/>
  <c r="F6" i="2"/>
  <c r="E7" i="2"/>
  <c r="E8" i="2" s="1"/>
  <c r="E6" i="2"/>
  <c r="D8" i="2"/>
  <c r="C7" i="2"/>
  <c r="C8" i="2" s="1"/>
  <c r="C6" i="2"/>
  <c r="C11" i="2" s="1"/>
  <c r="E3" i="13"/>
  <c r="B6" i="8"/>
  <c r="H30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F27" i="8"/>
  <c r="F26" i="8"/>
  <c r="F30" i="8"/>
  <c r="F29" i="8"/>
  <c r="F28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D12" i="8"/>
  <c r="E12" i="8" s="1"/>
  <c r="D13" i="8"/>
  <c r="E13" i="8" s="1"/>
  <c r="G13" i="8" s="1"/>
  <c r="D14" i="8"/>
  <c r="E14" i="8" s="1"/>
  <c r="G14" i="8" s="1"/>
  <c r="D15" i="8"/>
  <c r="E15" i="8" s="1"/>
  <c r="D16" i="8"/>
  <c r="E16" i="8" s="1"/>
  <c r="E23" i="13"/>
  <c r="F21" i="13"/>
  <c r="C15" i="13"/>
  <c r="C16" i="13" s="1"/>
  <c r="C17" i="13" s="1"/>
  <c r="C18" i="13" s="1"/>
  <c r="C19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E4" i="13"/>
  <c r="C54" i="12"/>
  <c r="C55" i="12"/>
  <c r="C56" i="12"/>
  <c r="C57" i="12"/>
  <c r="F21" i="12"/>
  <c r="C15" i="12"/>
  <c r="C16" i="12" s="1"/>
  <c r="C17" i="12" s="1"/>
  <c r="C18" i="12" s="1"/>
  <c r="C19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D5" i="12"/>
  <c r="D6" i="12" s="1"/>
  <c r="D7" i="12" s="1"/>
  <c r="D8" i="12" s="1"/>
  <c r="D9" i="12" s="1"/>
  <c r="D10" i="12" s="1"/>
  <c r="D11" i="12" s="1"/>
  <c r="D12" i="12" s="1"/>
  <c r="D13" i="12" s="1"/>
  <c r="E4" i="12"/>
  <c r="F16" i="11"/>
  <c r="E16" i="11"/>
  <c r="D16" i="11"/>
  <c r="C16" i="11"/>
  <c r="F15" i="11"/>
  <c r="E15" i="11"/>
  <c r="D15" i="11"/>
  <c r="C15" i="11"/>
  <c r="F11" i="11"/>
  <c r="E11" i="11"/>
  <c r="F10" i="11"/>
  <c r="E10" i="11"/>
  <c r="F8" i="11"/>
  <c r="C8" i="11"/>
  <c r="C10" i="11"/>
  <c r="F8" i="2"/>
  <c r="E22" i="7"/>
  <c r="D5" i="9"/>
  <c r="D6" i="9" s="1"/>
  <c r="E5" i="9"/>
  <c r="E6" i="9" s="1"/>
  <c r="F5" i="9"/>
  <c r="F6" i="9" s="1"/>
  <c r="G5" i="9"/>
  <c r="G6" i="9" s="1"/>
  <c r="H5" i="9"/>
  <c r="H6" i="9" s="1"/>
  <c r="I5" i="9"/>
  <c r="I6" i="9" s="1"/>
  <c r="J5" i="9"/>
  <c r="J6" i="9" s="1"/>
  <c r="K5" i="9"/>
  <c r="K6" i="9" s="1"/>
  <c r="L5" i="9"/>
  <c r="L6" i="9" s="1"/>
  <c r="C5" i="9"/>
  <c r="C6" i="9" s="1"/>
  <c r="G22" i="7"/>
  <c r="E4" i="7"/>
  <c r="D5" i="7"/>
  <c r="D6" i="7" s="1"/>
  <c r="D7" i="7" s="1"/>
  <c r="D8" i="7" s="1"/>
  <c r="D9" i="7" s="1"/>
  <c r="D10" i="7" s="1"/>
  <c r="D11" i="7" s="1"/>
  <c r="D12" i="7" s="1"/>
  <c r="D13" i="7" s="1"/>
  <c r="C15" i="7"/>
  <c r="C16" i="7" s="1"/>
  <c r="C17" i="7" s="1"/>
  <c r="C18" i="7" s="1"/>
  <c r="C19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H8" i="8"/>
  <c r="H7" i="8"/>
  <c r="F8" i="8"/>
  <c r="F7" i="8"/>
  <c r="E9" i="8"/>
  <c r="G8" i="8"/>
  <c r="G7" i="8"/>
  <c r="E7" i="8"/>
  <c r="F16" i="2"/>
  <c r="F7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G12" i="4"/>
  <c r="D13" i="4"/>
  <c r="E13" i="4"/>
  <c r="G13" i="4"/>
  <c r="D14" i="4"/>
  <c r="E14" i="4"/>
  <c r="G14" i="4"/>
  <c r="D15" i="4"/>
  <c r="E15" i="4"/>
  <c r="G15" i="4"/>
  <c r="D16" i="4"/>
  <c r="E16" i="4"/>
  <c r="G16" i="4"/>
  <c r="D17" i="4"/>
  <c r="E17" i="4"/>
  <c r="G17" i="4"/>
  <c r="D18" i="4"/>
  <c r="E18" i="4"/>
  <c r="G18" i="4"/>
  <c r="D19" i="4"/>
  <c r="E19" i="4"/>
  <c r="G19" i="4"/>
  <c r="D20" i="4"/>
  <c r="E20" i="4"/>
  <c r="G20" i="4"/>
  <c r="D21" i="4"/>
  <c r="E21" i="4"/>
  <c r="G21" i="4"/>
  <c r="D22" i="4"/>
  <c r="E22" i="4"/>
  <c r="G22" i="4"/>
  <c r="D23" i="4"/>
  <c r="E23" i="4"/>
  <c r="G23" i="4"/>
  <c r="D24" i="4"/>
  <c r="E24" i="4"/>
  <c r="G24" i="4"/>
  <c r="D25" i="4"/>
  <c r="E25" i="4"/>
  <c r="G25" i="4"/>
  <c r="D26" i="4"/>
  <c r="E26" i="4"/>
  <c r="G26" i="4"/>
  <c r="D27" i="4"/>
  <c r="E27" i="4"/>
  <c r="G27" i="4"/>
  <c r="D28" i="4"/>
  <c r="E28" i="4"/>
  <c r="G28" i="4"/>
  <c r="D29" i="4"/>
  <c r="E29" i="4"/>
  <c r="G29" i="4"/>
  <c r="D30" i="4"/>
  <c r="E30" i="4"/>
  <c r="G30" i="4"/>
  <c r="F8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B6" i="4"/>
  <c r="E7" i="4"/>
  <c r="G7" i="4"/>
  <c r="G11" i="3"/>
  <c r="F11" i="3"/>
  <c r="D11" i="3"/>
  <c r="E11" i="3"/>
  <c r="G12" i="3"/>
  <c r="F12" i="3"/>
  <c r="E12" i="3"/>
  <c r="D12" i="3"/>
  <c r="F11" i="2"/>
  <c r="E15" i="2"/>
  <c r="D16" i="2"/>
  <c r="C16" i="2"/>
  <c r="F15" i="2"/>
  <c r="C15" i="2"/>
  <c r="E10" i="2"/>
  <c r="C10" i="2"/>
  <c r="E16" i="2"/>
  <c r="F10" i="2"/>
  <c r="D15" i="2"/>
  <c r="E11" i="2"/>
  <c r="G8" i="4"/>
  <c r="D10" i="14" l="1"/>
  <c r="D11" i="14" s="1"/>
  <c r="D12" i="14" s="1"/>
  <c r="D13" i="14" s="1"/>
  <c r="D5" i="14"/>
  <c r="D11" i="11"/>
  <c r="D10" i="11"/>
  <c r="D11" i="2"/>
  <c r="D10" i="2"/>
  <c r="E5" i="13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D17" i="8"/>
  <c r="E17" i="8" s="1"/>
  <c r="G17" i="8" s="1"/>
  <c r="H29" i="8"/>
  <c r="D18" i="8"/>
  <c r="E18" i="8" s="1"/>
  <c r="G18" i="8" s="1"/>
  <c r="D19" i="8"/>
  <c r="E19" i="8" s="1"/>
  <c r="G19" i="8" s="1"/>
  <c r="D20" i="8"/>
  <c r="E20" i="8" s="1"/>
  <c r="G20" i="8" s="1"/>
  <c r="D21" i="8"/>
  <c r="E21" i="8" s="1"/>
  <c r="D22" i="8"/>
  <c r="E22" i="8" s="1"/>
  <c r="G22" i="8" s="1"/>
  <c r="D23" i="8"/>
  <c r="E23" i="8" s="1"/>
  <c r="G23" i="8" s="1"/>
  <c r="D24" i="8"/>
  <c r="E24" i="8" s="1"/>
  <c r="G24" i="8" s="1"/>
  <c r="D25" i="8"/>
  <c r="E25" i="8" s="1"/>
  <c r="G25" i="8" s="1"/>
  <c r="D26" i="8"/>
  <c r="E26" i="8" s="1"/>
  <c r="G26" i="8" s="1"/>
  <c r="D27" i="8"/>
  <c r="E27" i="8" s="1"/>
  <c r="G27" i="8" s="1"/>
  <c r="D28" i="8"/>
  <c r="E28" i="8" s="1"/>
  <c r="G28" i="8" s="1"/>
  <c r="D29" i="8"/>
  <c r="E29" i="8" s="1"/>
  <c r="D30" i="8"/>
  <c r="E30" i="8" s="1"/>
  <c r="G30" i="8" s="1"/>
  <c r="D11" i="8"/>
  <c r="E11" i="8" s="1"/>
  <c r="D10" i="8"/>
  <c r="E10" i="8" s="1"/>
  <c r="B8" i="8"/>
  <c r="B7" i="8"/>
  <c r="C6" i="8"/>
  <c r="H28" i="8"/>
  <c r="G29" i="8"/>
  <c r="G21" i="8"/>
  <c r="G12" i="8"/>
  <c r="G11" i="8"/>
  <c r="G10" i="8"/>
  <c r="G9" i="8"/>
  <c r="D16" i="13"/>
  <c r="D17" i="13" s="1"/>
  <c r="D18" i="13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G5" i="10"/>
  <c r="C6" i="10" s="1"/>
  <c r="F6" i="10" s="1"/>
  <c r="E5" i="7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G16" i="8"/>
  <c r="G15" i="8"/>
  <c r="F5" i="14" l="1"/>
  <c r="G5" i="14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E16" i="13"/>
  <c r="E17" i="13" s="1"/>
  <c r="E18" i="13" s="1"/>
  <c r="E19" i="13" s="1"/>
  <c r="G23" i="7"/>
  <c r="H23" i="7" s="1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24" i="7"/>
  <c r="G25" i="7"/>
  <c r="G26" i="7"/>
  <c r="E56" i="12"/>
  <c r="F57" i="12"/>
  <c r="E57" i="12"/>
  <c r="F56" i="12"/>
  <c r="F54" i="12"/>
  <c r="F55" i="12"/>
  <c r="E54" i="12"/>
  <c r="E55" i="12"/>
  <c r="G24" i="12"/>
  <c r="F28" i="12"/>
  <c r="E32" i="12"/>
  <c r="E36" i="12"/>
  <c r="E38" i="12"/>
  <c r="E43" i="12"/>
  <c r="E44" i="12"/>
  <c r="E46" i="12"/>
  <c r="E48" i="12"/>
  <c r="F48" i="12"/>
  <c r="E49" i="12"/>
  <c r="F49" i="12"/>
  <c r="E50" i="12"/>
  <c r="E51" i="12"/>
  <c r="F51" i="12"/>
  <c r="E52" i="12"/>
  <c r="F30" i="12"/>
  <c r="E35" i="12"/>
  <c r="F36" i="12"/>
  <c r="F29" i="12"/>
  <c r="E39" i="12"/>
  <c r="E42" i="12"/>
  <c r="E53" i="12"/>
  <c r="E24" i="12"/>
  <c r="F24" i="12"/>
  <c r="F27" i="12"/>
  <c r="F25" i="12"/>
  <c r="F26" i="12"/>
  <c r="E28" i="12"/>
  <c r="E31" i="12"/>
  <c r="F32" i="12"/>
  <c r="F35" i="12"/>
  <c r="E25" i="12"/>
  <c r="F38" i="12"/>
  <c r="F39" i="12"/>
  <c r="E40" i="12"/>
  <c r="F43" i="12"/>
  <c r="E45" i="12"/>
  <c r="F45" i="12"/>
  <c r="F46" i="12"/>
  <c r="F53" i="12"/>
  <c r="E26" i="12"/>
  <c r="E27" i="12"/>
  <c r="E29" i="12"/>
  <c r="E30" i="12"/>
  <c r="F31" i="12"/>
  <c r="E33" i="12"/>
  <c r="F33" i="12"/>
  <c r="E34" i="12"/>
  <c r="F34" i="12"/>
  <c r="E37" i="12"/>
  <c r="F37" i="12"/>
  <c r="F40" i="12"/>
  <c r="E41" i="12"/>
  <c r="F41" i="12"/>
  <c r="F42" i="12"/>
  <c r="F44" i="12"/>
  <c r="E47" i="12"/>
  <c r="F47" i="12"/>
  <c r="F50" i="12"/>
  <c r="F52" i="12"/>
  <c r="G6" i="10"/>
  <c r="C7" i="10" s="1"/>
  <c r="E51" i="7"/>
  <c r="F29" i="7"/>
  <c r="F37" i="7"/>
  <c r="F45" i="7"/>
  <c r="E41" i="7"/>
  <c r="E28" i="7"/>
  <c r="E36" i="7"/>
  <c r="F38" i="7"/>
  <c r="E42" i="7"/>
  <c r="E29" i="7"/>
  <c r="E37" i="7"/>
  <c r="F50" i="7"/>
  <c r="F31" i="7"/>
  <c r="F39" i="7"/>
  <c r="F47" i="7"/>
  <c r="E43" i="7"/>
  <c r="E30" i="7"/>
  <c r="E23" i="7"/>
  <c r="F51" i="7"/>
  <c r="F24" i="7"/>
  <c r="F32" i="7"/>
  <c r="F40" i="7"/>
  <c r="E44" i="7"/>
  <c r="F34" i="7"/>
  <c r="E38" i="7"/>
  <c r="E25" i="7"/>
  <c r="F35" i="7"/>
  <c r="E39" i="7"/>
  <c r="E26" i="7"/>
  <c r="E34" i="7"/>
  <c r="E50" i="7"/>
  <c r="F28" i="7"/>
  <c r="F36" i="7"/>
  <c r="E40" i="7"/>
  <c r="E27" i="7"/>
  <c r="E35" i="7"/>
  <c r="F49" i="7"/>
  <c r="E52" i="7"/>
  <c r="F30" i="7"/>
  <c r="F46" i="7"/>
  <c r="F48" i="7"/>
  <c r="E31" i="7"/>
  <c r="F26" i="7"/>
  <c r="F42" i="7"/>
  <c r="E46" i="7"/>
  <c r="E33" i="7"/>
  <c r="E49" i="7"/>
  <c r="F27" i="7"/>
  <c r="F43" i="7"/>
  <c r="E47" i="7"/>
  <c r="E48" i="7"/>
  <c r="F52" i="7"/>
  <c r="F25" i="7"/>
  <c r="F33" i="7"/>
  <c r="F41" i="7"/>
  <c r="F23" i="7"/>
  <c r="E45" i="7"/>
  <c r="E24" i="7"/>
  <c r="E32" i="7"/>
  <c r="F44" i="7"/>
  <c r="C6" i="14" l="1"/>
  <c r="F6" i="14" s="1"/>
  <c r="G6" i="14"/>
  <c r="E35" i="13"/>
  <c r="F33" i="13"/>
  <c r="E28" i="13"/>
  <c r="F29" i="13"/>
  <c r="F39" i="13"/>
  <c r="E39" i="13"/>
  <c r="E37" i="13"/>
  <c r="F35" i="13"/>
  <c r="F34" i="13"/>
  <c r="E34" i="13"/>
  <c r="F32" i="13"/>
  <c r="E32" i="13"/>
  <c r="F27" i="13"/>
  <c r="F26" i="13"/>
  <c r="E26" i="13"/>
  <c r="F25" i="13"/>
  <c r="F57" i="13"/>
  <c r="E57" i="13"/>
  <c r="F56" i="13"/>
  <c r="E56" i="13"/>
  <c r="F55" i="13"/>
  <c r="E55" i="13"/>
  <c r="F54" i="13"/>
  <c r="E54" i="13"/>
  <c r="F53" i="13"/>
  <c r="E53" i="13"/>
  <c r="F36" i="13"/>
  <c r="E36" i="13"/>
  <c r="E33" i="13"/>
  <c r="F31" i="13"/>
  <c r="E25" i="13"/>
  <c r="F52" i="13"/>
  <c r="E52" i="13"/>
  <c r="F51" i="13"/>
  <c r="E51" i="13"/>
  <c r="F50" i="13"/>
  <c r="E50" i="13"/>
  <c r="F49" i="13"/>
  <c r="E49" i="13"/>
  <c r="F48" i="13"/>
  <c r="E48" i="13"/>
  <c r="F47" i="13"/>
  <c r="F46" i="13"/>
  <c r="E46" i="13"/>
  <c r="F45" i="13"/>
  <c r="E45" i="13"/>
  <c r="F44" i="13"/>
  <c r="F43" i="13"/>
  <c r="E43" i="13"/>
  <c r="F42" i="13"/>
  <c r="F30" i="13"/>
  <c r="E29" i="13"/>
  <c r="E27" i="13"/>
  <c r="E42" i="13"/>
  <c r="F41" i="13"/>
  <c r="E41" i="13"/>
  <c r="F40" i="13"/>
  <c r="E40" i="13"/>
  <c r="F38" i="13"/>
  <c r="E38" i="13"/>
  <c r="F37" i="13"/>
  <c r="F28" i="13"/>
  <c r="G24" i="13"/>
  <c r="F24" i="13"/>
  <c r="E24" i="13"/>
  <c r="E47" i="13"/>
  <c r="E44" i="13"/>
  <c r="E31" i="13"/>
  <c r="E30" i="13"/>
  <c r="H24" i="7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G25" i="12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H24" i="12"/>
  <c r="G7" i="10"/>
  <c r="C8" i="10" s="1"/>
  <c r="F7" i="10"/>
  <c r="C7" i="14" l="1"/>
  <c r="F7" i="14" s="1"/>
  <c r="G7" i="14"/>
  <c r="G25" i="13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H24" i="13"/>
  <c r="H25" i="12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G8" i="10"/>
  <c r="C9" i="10" s="1"/>
  <c r="F8" i="10"/>
  <c r="C8" i="14" l="1"/>
  <c r="F8" i="14" s="1"/>
  <c r="G8" i="14"/>
  <c r="H25" i="13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G9" i="10"/>
  <c r="C10" i="10" s="1"/>
  <c r="F9" i="10"/>
  <c r="G9" i="14" l="1"/>
  <c r="C9" i="14"/>
  <c r="F9" i="14" s="1"/>
  <c r="G10" i="10"/>
  <c r="C11" i="10" s="1"/>
  <c r="F10" i="10"/>
  <c r="C10" i="14" l="1"/>
  <c r="F10" i="14" s="1"/>
  <c r="G10" i="14"/>
  <c r="G11" i="10"/>
  <c r="C12" i="10" s="1"/>
  <c r="F11" i="10"/>
  <c r="C11" i="14" l="1"/>
  <c r="F11" i="14" s="1"/>
  <c r="G11" i="14"/>
  <c r="G12" i="10"/>
  <c r="C13" i="10" s="1"/>
  <c r="F12" i="10"/>
  <c r="C12" i="14" l="1"/>
  <c r="F12" i="14" s="1"/>
  <c r="G12" i="14"/>
  <c r="G13" i="10"/>
  <c r="C14" i="10" s="1"/>
  <c r="F13" i="10"/>
  <c r="C13" i="14" l="1"/>
  <c r="F13" i="14" s="1"/>
  <c r="G13" i="14"/>
  <c r="G14" i="10"/>
  <c r="F14" i="10"/>
  <c r="C14" i="14" l="1"/>
  <c r="F14" i="14" s="1"/>
  <c r="G14" i="14"/>
</calcChain>
</file>

<file path=xl/sharedStrings.xml><?xml version="1.0" encoding="utf-8"?>
<sst xmlns="http://schemas.openxmlformats.org/spreadsheetml/2006/main" count="154" uniqueCount="91">
  <si>
    <t>66-85</t>
  </si>
  <si>
    <t xml:space="preserve">Total Received 总领取金额 </t>
  </si>
  <si>
    <t>Payment Term(yr) 支付期限</t>
  </si>
  <si>
    <t>Monthly Premium (=annual/12) 按月计算金额</t>
  </si>
  <si>
    <t>Total Premium 总保费投入</t>
  </si>
  <si>
    <t>Annal Premium 年存保费金额</t>
  </si>
  <si>
    <t>Harvesting Phase 收获期</t>
  </si>
  <si>
    <t>Planting Phase 播种期</t>
  </si>
  <si>
    <t>Payout Age 领取年龄 (ANB下一生日)</t>
  </si>
  <si>
    <t>Client 客户</t>
  </si>
  <si>
    <t>Premium Payment 保费缴纳</t>
  </si>
  <si>
    <t>Guaranteed Survial Benefit (SB) 保证生存金</t>
  </si>
  <si>
    <t>Total Monthly Income (SB+CB based on 4.25% pirr) 月领取金额</t>
  </si>
  <si>
    <t>2ADL (50% of SB) 两样失能看护金</t>
  </si>
  <si>
    <t>3ADL (100% of SB) 三样失能看护金</t>
  </si>
  <si>
    <t>Additional ADL Monthly Benefit 额外失能看护金</t>
  </si>
  <si>
    <t>Monthly Income 退休月收入</t>
  </si>
  <si>
    <t>Wealth Accumulation (Annuity)</t>
  </si>
  <si>
    <t>整存零取/整存整取</t>
  </si>
  <si>
    <t>Option 1 payout 
领取模式</t>
  </si>
  <si>
    <t>Option 3 accmulation 
累计模式</t>
  </si>
  <si>
    <t>Product 
产品</t>
  </si>
  <si>
    <t>Single Premium
趸交</t>
  </si>
  <si>
    <t>Payout Starting month 
起始领取月份</t>
  </si>
  <si>
    <t>Monthly Payout 月领取金额</t>
  </si>
  <si>
    <t>Payout Rate 
给付率</t>
  </si>
  <si>
    <t>Surrender Value
 (e.g. @ 30 PY  ) 退保价值(30年为例)</t>
  </si>
  <si>
    <t>Total surrender value, acc.cash bonus and acc. Survival benefit (e.g. @ 30 PY) 总退保价值和累计领取金额（30年为例）</t>
  </si>
  <si>
    <t>13th</t>
  </si>
  <si>
    <t>PLR 4 USD</t>
  </si>
  <si>
    <t>PLR 5 SGD</t>
    <phoneticPr fontId="6" type="noConversion"/>
  </si>
  <si>
    <t>25th</t>
    <phoneticPr fontId="6" type="noConversion"/>
  </si>
  <si>
    <t>Total Accumulate Amount 
总累计额</t>
    <phoneticPr fontId="6" type="noConversion"/>
  </si>
  <si>
    <t>End of Policy Year 
保单年末</t>
    <phoneticPr fontId="6" type="noConversion"/>
  </si>
  <si>
    <t>Surrender Value 
退保金b</t>
    <phoneticPr fontId="6" type="noConversion"/>
  </si>
  <si>
    <t>Total receivable 
总领取额(a+b)</t>
    <phoneticPr fontId="6" type="noConversion"/>
  </si>
  <si>
    <t>Prestige Life Rewards 5 (SGD)</t>
    <phoneticPr fontId="6" type="noConversion"/>
  </si>
  <si>
    <t>Annual Payout 
(receive from 25th month every month ) 年派息(第25个月开始按月领取)</t>
    <phoneticPr fontId="6" type="noConversion"/>
  </si>
  <si>
    <t>Accmulate Payout 累计派息a</t>
    <phoneticPr fontId="6" type="noConversion"/>
  </si>
  <si>
    <t>Option 1 - payout mode 
模式1 领取模式（领取派息，无复利累计）</t>
    <phoneticPr fontId="6" type="noConversion"/>
  </si>
  <si>
    <t>Option 3 - accmulate mode 
模式3 累积模式（留存派息，以3%复利累计）</t>
    <phoneticPr fontId="6" type="noConversion"/>
  </si>
  <si>
    <t>Total Premium Paid 
总支付金额</t>
    <phoneticPr fontId="6" type="noConversion"/>
  </si>
  <si>
    <t>Annual Premium 
年支付额</t>
    <phoneticPr fontId="6" type="noConversion"/>
  </si>
  <si>
    <t>Annual Payout 
(receive from 43th month every month ) 年派息(第43个月开始按月领取)</t>
    <phoneticPr fontId="6" type="noConversion"/>
  </si>
  <si>
    <t>accumulation Phase</t>
    <phoneticPr fontId="6" type="noConversion"/>
  </si>
  <si>
    <t>Distribution Phase</t>
    <phoneticPr fontId="6" type="noConversion"/>
  </si>
  <si>
    <t>Capital Preservation Model</t>
    <phoneticPr fontId="6" type="noConversion"/>
  </si>
  <si>
    <t>Captial Drawdown Model</t>
    <phoneticPr fontId="6" type="noConversion"/>
  </si>
  <si>
    <t>End Of Year</t>
    <phoneticPr fontId="6" type="noConversion"/>
  </si>
  <si>
    <t xml:space="preserve">Annual Investment </t>
    <phoneticPr fontId="6" type="noConversion"/>
  </si>
  <si>
    <t>Projected Return Rate</t>
    <phoneticPr fontId="6" type="noConversion"/>
  </si>
  <si>
    <t>Capital Balance</t>
    <phoneticPr fontId="6" type="noConversion"/>
  </si>
  <si>
    <t>Yield</t>
    <phoneticPr fontId="6" type="noConversion"/>
  </si>
  <si>
    <t>Inflation Adjusted Return rate</t>
    <phoneticPr fontId="6" type="noConversion"/>
  </si>
  <si>
    <t>Product/Year</t>
  </si>
  <si>
    <t>GIA</t>
  </si>
  <si>
    <t>GWA4/GRI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</si>
  <si>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</si>
  <si>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</si>
  <si>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</si>
  <si>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</si>
  <si>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</si>
  <si>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</si>
  <si>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</si>
  <si>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</si>
  <si>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</si>
  <si>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</si>
  <si>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Yr</t>
  </si>
  <si>
    <t>Withdrawal</t>
  </si>
  <si>
    <t>Dividend Reinvested</t>
  </si>
  <si>
    <t>Dividend rate</t>
  </si>
  <si>
    <t>Account Value @ BoY</t>
  </si>
  <si>
    <t>Account Value @ EoY</t>
  </si>
  <si>
    <t>Self-Feeder Model</t>
  </si>
  <si>
    <t>66-75</t>
    <phoneticPr fontId="6" type="noConversion"/>
  </si>
  <si>
    <t>71-80</t>
    <phoneticPr fontId="6" type="noConversion"/>
  </si>
  <si>
    <t xml:space="preserve">illustration purpose only. PIIR 4.25% </t>
    <phoneticPr fontId="6" type="noConversion"/>
  </si>
  <si>
    <t>illustration purpose only</t>
    <phoneticPr fontId="6" type="noConversion"/>
  </si>
  <si>
    <t>GIA Capital Drawdown&amp;Reinvest Model</t>
    <phoneticPr fontId="6" type="noConversion"/>
  </si>
  <si>
    <t>Captial Drawdown Model 
(inflation-adjusted income)</t>
  </si>
  <si>
    <t>Capital Preservation Model 
(fixed amount income)</t>
  </si>
  <si>
    <t>withdrawal rate</t>
  </si>
  <si>
    <t>Return Rate</t>
  </si>
  <si>
    <t>inflation rate</t>
  </si>
  <si>
    <t>GREAT LIFETIME PAYOUT 3</t>
  </si>
  <si>
    <t>61-80</t>
  </si>
  <si>
    <t>71-90</t>
  </si>
  <si>
    <t>Mdm</t>
  </si>
  <si>
    <t>Retirement Income Plan for MR</t>
  </si>
  <si>
    <t>MR</t>
  </si>
  <si>
    <t>Retirement Income Plan for MDM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</si>
</sst>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.0_-;\-&quot;$&quot;* #,##0.0_-;_-&quot;$&quot;* &quot;-&quot;??_-;_-@_-"/>
    <numFmt numFmtId="167" formatCode="_-* #,##0_-;\-* #,##0_-;_-* &quot;-&quot;??_-;_-@_-"/>
    <numFmt numFmtId="168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 Black"/>
      <family val="2"/>
    </font>
    <font>
      <sz val="9"/>
      <name val="Calibri"/>
      <family val="3"/>
      <charset val="134"/>
      <scheme val="minor"/>
    </font>
    <font>
      <b/>
      <i/>
      <sz val="11"/>
      <color theme="1"/>
      <name val="Calibri"/>
      <family val="4"/>
      <charset val="134"/>
      <scheme val="minor"/>
    </font>
    <font>
      <i/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b/>
      <sz val="14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b/>
      <sz val="11"/>
      <color theme="0"/>
      <name val="Calibri"/>
      <family val="4"/>
      <charset val="134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1">
    <xf numFmtId="0" fontId="0" fillId="0" borderId="0" xfId="0"/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5" borderId="1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166" fontId="3" fillId="4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166" fontId="2" fillId="4" borderId="2" xfId="1" applyNumberFormat="1" applyFont="1" applyFill="1" applyBorder="1" applyAlignment="1">
      <alignment horizontal="center" vertical="center"/>
    </xf>
    <xf numFmtId="166" fontId="2" fillId="5" borderId="2" xfId="1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166" fontId="2" fillId="4" borderId="14" xfId="1" applyNumberFormat="1" applyFont="1" applyFill="1" applyBorder="1" applyAlignment="1">
      <alignment horizontal="center" vertical="center"/>
    </xf>
    <xf numFmtId="166" fontId="2" fillId="5" borderId="14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10" borderId="0" xfId="0" applyFont="1" applyFill="1" applyAlignment="1">
      <alignment horizontal="left"/>
    </xf>
    <xf numFmtId="0" fontId="7" fillId="0" borderId="19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167" fontId="9" fillId="0" borderId="1" xfId="2" applyNumberFormat="1" applyFont="1" applyFill="1" applyBorder="1" applyAlignment="1"/>
    <xf numFmtId="0" fontId="0" fillId="0" borderId="1" xfId="0" applyBorder="1" applyAlignment="1">
      <alignment horizontal="center"/>
    </xf>
    <xf numFmtId="165" fontId="9" fillId="0" borderId="1" xfId="0" applyNumberFormat="1" applyFont="1" applyBorder="1"/>
    <xf numFmtId="10" fontId="0" fillId="0" borderId="1" xfId="3" applyNumberFormat="1" applyFont="1" applyBorder="1" applyAlignment="1"/>
    <xf numFmtId="167" fontId="9" fillId="0" borderId="0" xfId="2" applyNumberFormat="1" applyFont="1" applyFill="1" applyBorder="1" applyAlignment="1"/>
    <xf numFmtId="0" fontId="0" fillId="0" borderId="0" xfId="0" applyAlignment="1">
      <alignment horizontal="center"/>
    </xf>
    <xf numFmtId="165" fontId="9" fillId="0" borderId="0" xfId="0" applyNumberFormat="1" applyFont="1"/>
    <xf numFmtId="10" fontId="0" fillId="0" borderId="0" xfId="3" applyNumberFormat="1" applyFont="1" applyBorder="1" applyAlignment="1"/>
    <xf numFmtId="168" fontId="0" fillId="0" borderId="1" xfId="1" applyNumberFormat="1" applyFont="1" applyBorder="1"/>
    <xf numFmtId="168" fontId="0" fillId="0" borderId="1" xfId="1" applyNumberFormat="1" applyFont="1" applyBorder="1" applyAlignment="1">
      <alignment horizontal="center" vertical="center"/>
    </xf>
    <xf numFmtId="164" fontId="2" fillId="5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168" fontId="0" fillId="4" borderId="20" xfId="1" applyNumberFormat="1" applyFont="1" applyFill="1" applyBorder="1" applyAlignment="1"/>
    <xf numFmtId="168" fontId="0" fillId="4" borderId="24" xfId="1" applyNumberFormat="1" applyFont="1" applyFill="1" applyBorder="1"/>
    <xf numFmtId="168" fontId="0" fillId="4" borderId="31" xfId="1" applyNumberFormat="1" applyFont="1" applyFill="1" applyBorder="1" applyAlignment="1"/>
    <xf numFmtId="168" fontId="0" fillId="4" borderId="25" xfId="1" applyNumberFormat="1" applyFont="1" applyFill="1" applyBorder="1"/>
    <xf numFmtId="168" fontId="0" fillId="4" borderId="30" xfId="1" applyNumberFormat="1" applyFont="1" applyFill="1" applyBorder="1" applyAlignment="1"/>
    <xf numFmtId="168" fontId="0" fillId="4" borderId="0" xfId="1" applyNumberFormat="1" applyFont="1" applyFill="1" applyBorder="1"/>
    <xf numFmtId="168" fontId="0" fillId="4" borderId="32" xfId="1" applyNumberFormat="1" applyFont="1" applyFill="1" applyBorder="1" applyAlignment="1"/>
    <xf numFmtId="168" fontId="0" fillId="4" borderId="27" xfId="1" applyNumberFormat="1" applyFont="1" applyFill="1" applyBorder="1"/>
    <xf numFmtId="168" fontId="0" fillId="4" borderId="3" xfId="1" applyNumberFormat="1" applyFont="1" applyFill="1" applyBorder="1" applyAlignment="1"/>
    <xf numFmtId="168" fontId="0" fillId="4" borderId="19" xfId="1" applyNumberFormat="1" applyFont="1" applyFill="1" applyBorder="1"/>
    <xf numFmtId="168" fontId="0" fillId="4" borderId="29" xfId="1" applyNumberFormat="1" applyFont="1" applyFill="1" applyBorder="1"/>
    <xf numFmtId="168" fontId="0" fillId="3" borderId="1" xfId="1" applyNumberFormat="1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10" fontId="0" fillId="3" borderId="1" xfId="3" applyNumberFormat="1" applyFont="1" applyFill="1" applyBorder="1" applyAlignment="1">
      <alignment horizontal="center" vertical="center"/>
    </xf>
    <xf numFmtId="9" fontId="0" fillId="3" borderId="22" xfId="0" applyNumberForma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168" fontId="0" fillId="14" borderId="0" xfId="1" applyNumberFormat="1" applyFont="1" applyFill="1" applyBorder="1"/>
    <xf numFmtId="166" fontId="0" fillId="14" borderId="0" xfId="1" applyNumberFormat="1" applyFont="1" applyFill="1" applyBorder="1"/>
    <xf numFmtId="0" fontId="0" fillId="3" borderId="0" xfId="0" applyFill="1"/>
    <xf numFmtId="166" fontId="0" fillId="3" borderId="0" xfId="1" applyNumberFormat="1" applyFont="1" applyFill="1" applyBorder="1"/>
    <xf numFmtId="0" fontId="0" fillId="4" borderId="0" xfId="0" applyFill="1" applyAlignment="1">
      <alignment horizontal="center"/>
    </xf>
    <xf numFmtId="166" fontId="0" fillId="4" borderId="0" xfId="1" applyNumberFormat="1" applyFont="1" applyFill="1" applyBorder="1"/>
    <xf numFmtId="0" fontId="0" fillId="4" borderId="0" xfId="0" applyFill="1"/>
    <xf numFmtId="0" fontId="0" fillId="4" borderId="19" xfId="0" applyFill="1" applyBorder="1" applyAlignment="1">
      <alignment horizontal="center"/>
    </xf>
    <xf numFmtId="0" fontId="0" fillId="4" borderId="19" xfId="0" applyFill="1" applyBorder="1"/>
    <xf numFmtId="0" fontId="0" fillId="15" borderId="1" xfId="0" applyFill="1" applyBorder="1"/>
    <xf numFmtId="168" fontId="0" fillId="15" borderId="1" xfId="1" applyNumberFormat="1" applyFont="1" applyFill="1" applyBorder="1"/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" xfId="0" applyBorder="1"/>
    <xf numFmtId="0" fontId="0" fillId="0" borderId="28" xfId="0" applyBorder="1"/>
    <xf numFmtId="0" fontId="0" fillId="0" borderId="33" xfId="0" applyBorder="1"/>
    <xf numFmtId="0" fontId="0" fillId="0" borderId="21" xfId="0" applyBorder="1"/>
    <xf numFmtId="0" fontId="0" fillId="0" borderId="25" xfId="0" applyBorder="1" applyAlignment="1">
      <alignment wrapText="1"/>
    </xf>
    <xf numFmtId="0" fontId="0" fillId="0" borderId="20" xfId="0" applyBorder="1"/>
    <xf numFmtId="0" fontId="0" fillId="0" borderId="23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0" fontId="12" fillId="0" borderId="0" xfId="0" applyFont="1"/>
    <xf numFmtId="0" fontId="11" fillId="13" borderId="23" xfId="0" applyFont="1" applyFill="1" applyBorder="1"/>
    <xf numFmtId="0" fontId="11" fillId="13" borderId="26" xfId="0" applyFont="1" applyFill="1" applyBorder="1"/>
    <xf numFmtId="0" fontId="13" fillId="0" borderId="0" xfId="0" applyFont="1"/>
    <xf numFmtId="0" fontId="0" fillId="3" borderId="34" xfId="0" applyFill="1" applyBorder="1" applyAlignment="1">
      <alignment vertical="center" wrapText="1"/>
    </xf>
    <xf numFmtId="168" fontId="1" fillId="3" borderId="21" xfId="1" applyNumberFormat="1" applyFont="1" applyFill="1" applyBorder="1" applyAlignment="1">
      <alignment horizontal="center" vertical="center" wrapText="1"/>
    </xf>
    <xf numFmtId="10" fontId="1" fillId="3" borderId="35" xfId="1" applyNumberFormat="1" applyFont="1" applyFill="1" applyBorder="1" applyAlignment="1">
      <alignment horizontal="center" vertical="center" wrapText="1"/>
    </xf>
    <xf numFmtId="168" fontId="0" fillId="4" borderId="33" xfId="1" applyNumberFormat="1" applyFont="1" applyFill="1" applyBorder="1"/>
    <xf numFmtId="10" fontId="0" fillId="3" borderId="22" xfId="0" applyNumberFormat="1" applyFill="1" applyBorder="1" applyAlignment="1">
      <alignment horizontal="center" vertical="center"/>
    </xf>
    <xf numFmtId="168" fontId="0" fillId="4" borderId="27" xfId="1" applyNumberFormat="1" applyFont="1" applyFill="1" applyBorder="1" applyAlignment="1"/>
    <xf numFmtId="168" fontId="0" fillId="4" borderId="36" xfId="1" applyNumberFormat="1" applyFont="1" applyFill="1" applyBorder="1"/>
    <xf numFmtId="168" fontId="0" fillId="4" borderId="20" xfId="1" applyNumberFormat="1" applyFont="1" applyFill="1" applyBorder="1"/>
    <xf numFmtId="10" fontId="0" fillId="3" borderId="25" xfId="0" applyNumberFormat="1" applyFill="1" applyBorder="1" applyAlignment="1">
      <alignment vertical="center" wrapText="1"/>
    </xf>
    <xf numFmtId="168" fontId="0" fillId="0" borderId="1" xfId="1" applyNumberFormat="1" applyFont="1" applyFill="1" applyBorder="1"/>
    <xf numFmtId="168" fontId="1" fillId="0" borderId="1" xfId="1" applyNumberFormat="1" applyFont="1" applyFill="1" applyBorder="1"/>
    <xf numFmtId="168" fontId="14" fillId="15" borderId="1" xfId="1" applyNumberFormat="1" applyFont="1" applyFill="1" applyBorder="1"/>
    <xf numFmtId="0" fontId="10" fillId="12" borderId="0" xfId="0" applyFont="1" applyFill="1" applyAlignment="1">
      <alignment horizontal="center" vertical="center" textRotation="255" wrapText="1"/>
    </xf>
    <xf numFmtId="168" fontId="9" fillId="3" borderId="1" xfId="1" applyNumberFormat="1" applyFont="1" applyFill="1" applyBorder="1" applyAlignment="1">
      <alignment horizontal="center" vertical="center" wrapText="1"/>
    </xf>
    <xf numFmtId="168" fontId="9" fillId="3" borderId="21" xfId="1" applyNumberFormat="1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3" borderId="24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3" borderId="23" xfId="0" applyFont="1" applyFill="1" applyBorder="1" applyAlignment="1">
      <alignment horizontal="center"/>
    </xf>
    <xf numFmtId="0" fontId="11" fillId="13" borderId="24" xfId="0" applyFont="1" applyFill="1" applyBorder="1" applyAlignment="1">
      <alignment horizontal="center"/>
    </xf>
    <xf numFmtId="0" fontId="11" fillId="13" borderId="25" xfId="0" applyFont="1" applyFill="1" applyBorder="1" applyAlignment="1">
      <alignment horizontal="center"/>
    </xf>
    <xf numFmtId="9" fontId="11" fillId="13" borderId="26" xfId="0" applyNumberFormat="1" applyFont="1" applyFill="1" applyBorder="1" applyAlignment="1">
      <alignment horizontal="center"/>
    </xf>
    <xf numFmtId="9" fontId="11" fillId="13" borderId="0" xfId="0" applyNumberFormat="1" applyFont="1" applyFill="1" applyAlignment="1">
      <alignment horizontal="center"/>
    </xf>
    <xf numFmtId="9" fontId="11" fillId="13" borderId="27" xfId="0" applyNumberFormat="1" applyFont="1" applyFill="1" applyBorder="1" applyAlignment="1">
      <alignment horizontal="center"/>
    </xf>
    <xf numFmtId="168" fontId="0" fillId="14" borderId="26" xfId="1" applyNumberFormat="1" applyFont="1" applyFill="1" applyBorder="1" applyAlignment="1">
      <alignment horizontal="center" vertical="top"/>
    </xf>
    <xf numFmtId="168" fontId="0" fillId="14" borderId="0" xfId="1" applyNumberFormat="1" applyFont="1" applyFill="1" applyBorder="1" applyAlignment="1">
      <alignment horizontal="center" vertical="top"/>
    </xf>
    <xf numFmtId="168" fontId="0" fillId="14" borderId="27" xfId="1" applyNumberFormat="1" applyFont="1" applyFill="1" applyBorder="1" applyAlignment="1">
      <alignment horizontal="center" vertical="top"/>
    </xf>
    <xf numFmtId="0" fontId="10" fillId="6" borderId="26" xfId="0" applyFont="1" applyFill="1" applyBorder="1" applyAlignment="1">
      <alignment horizontal="center" vertical="center" textRotation="255" wrapText="1"/>
    </xf>
    <xf numFmtId="166" fontId="3" fillId="8" borderId="7" xfId="1" applyNumberFormat="1" applyFont="1" applyFill="1" applyBorder="1" applyAlignment="1">
      <alignment horizontal="center" vertical="center"/>
    </xf>
    <xf numFmtId="166" fontId="3" fillId="8" borderId="3" xfId="1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textRotation="180" wrapText="1"/>
    </xf>
    <xf numFmtId="0" fontId="4" fillId="6" borderId="10" xfId="0" applyFont="1" applyFill="1" applyBorder="1" applyAlignment="1">
      <alignment horizontal="center" vertical="center" textRotation="180" wrapText="1"/>
    </xf>
    <xf numFmtId="0" fontId="4" fillId="6" borderId="15" xfId="0" applyFont="1" applyFill="1" applyBorder="1" applyAlignment="1">
      <alignment horizontal="center" vertical="center" textRotation="180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textRotation="180" wrapText="1"/>
    </xf>
    <xf numFmtId="0" fontId="4" fillId="7" borderId="10" xfId="0" applyFont="1" applyFill="1" applyBorder="1" applyAlignment="1">
      <alignment horizontal="center" vertical="center" textRotation="180" wrapText="1"/>
    </xf>
    <xf numFmtId="0" fontId="4" fillId="7" borderId="12" xfId="0" applyFont="1" applyFill="1" applyBorder="1" applyAlignment="1">
      <alignment horizontal="center" vertical="center" textRotation="180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16" borderId="0" xfId="0" applyFont="1" applyFill="1" applyAlignment="1">
      <alignment horizontal="center" vertical="center"/>
    </xf>
    <xf numFmtId="0" fontId="10" fillId="12" borderId="26" xfId="0" applyFont="1" applyFill="1" applyBorder="1" applyAlignment="1">
      <alignment horizontal="center" vertical="center" textRotation="255" wrapText="1"/>
    </xf>
    <xf numFmtId="0" fontId="10" fillId="12" borderId="28" xfId="0" applyFont="1" applyFill="1" applyBorder="1" applyAlignment="1">
      <alignment horizontal="center" vertical="center" textRotation="255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4">
    <cellStyle name="Comma" xfId="2" builtinId="3"/>
    <cellStyle name="Currency" xfId="1" builtinId="4"/>
    <cellStyle name="Normal" xfId="0" builtinId="0"/>
    <cellStyle name="Per cent" xfId="3" builtinId="5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3" formatCode="0%"/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3" formatCode="0%"/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437B4B-E837-A04C-9E9A-4815C29065D1}" name="Table24" displayName="Table24" ref="B4:G14" totalsRowShown="0" headerRowDxfId="26">
  <autoFilter ref="B4:G14" xr:uid="{FC732608-9545-464A-8270-52FB816FB9BA}"/>
  <tableColumns count="6">
    <tableColumn id="1" xr3:uid="{5EB146A0-2536-864D-9C94-E1BB61F06F31}" name="Yr" dataDxfId="25"/>
    <tableColumn id="2" xr3:uid="{507C4759-FE37-6743-9E41-4E3D29743D83}" name="Account Value @ BoY" dataDxfId="24">
      <calculatedColumnFormula>200000</calculatedColumnFormula>
    </tableColumn>
    <tableColumn id="3" xr3:uid="{19AA744B-0FC9-274E-AF64-43B409A8F710}" name="Withdrawal"/>
    <tableColumn id="4" xr3:uid="{8D6B2FC9-1325-5242-9CBC-72AE126553C3}" name="Dividend rate" dataDxfId="23"/>
    <tableColumn id="5" xr3:uid="{D6FEC27F-3DAB-A84F-97FE-1F5BE89487DC}" name="Dividend Reinvested" dataDxfId="22">
      <calculatedColumnFormula>(C5+D5)*E5</calculatedColumnFormula>
    </tableColumn>
    <tableColumn id="6" xr3:uid="{028F9B8D-BF97-5F4D-96B1-64B2E03BE8FA}" name="Account Value @ EoY" dataDxfId="21">
      <calculatedColumnFormula>(G4+D5)*(1+E5)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32608-9545-464A-8270-52FB816FB9BA}" name="Table2" displayName="Table2" ref="B4:G14" totalsRowShown="0" headerRowDxfId="20">
  <autoFilter ref="B4:G14" xr:uid="{FC732608-9545-464A-8270-52FB816FB9BA}"/>
  <tableColumns count="6">
    <tableColumn id="1" xr3:uid="{C45A81F8-D5B2-4838-BC29-C27112B07B8D}" name="Yr" dataDxfId="19"/>
    <tableColumn id="2" xr3:uid="{6A76DDE4-6ADD-4C19-89D7-B03DEC495392}" name="Account Value @ BoY" dataDxfId="18">
      <calculatedColumnFormula>200000</calculatedColumnFormula>
    </tableColumn>
    <tableColumn id="3" xr3:uid="{9431BC58-168D-4C9D-9F38-4AFF7E4E27F5}" name="Withdrawal"/>
    <tableColumn id="4" xr3:uid="{3965761B-6315-4412-A6DF-C6E642F3C6EE}" name="Dividend rate" dataDxfId="17"/>
    <tableColumn id="5" xr3:uid="{1BC9EFC9-663A-46ED-9914-2B9C55F18235}" name="Dividend Reinvested" dataDxfId="16">
      <calculatedColumnFormula>(C5+D5)*E5</calculatedColumnFormula>
    </tableColumn>
    <tableColumn id="6" xr3:uid="{D7B1111A-B435-41A5-9A09-4E97B172038E}" name="Account Value @ EoY" dataDxfId="15">
      <calculatedColumnFormula>(G4+D5)*(1+E5)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91C0A-9EFE-421A-B582-2CA41B7D5C70}" name="Table1" displayName="Table1" ref="B4:L6" totalsRowShown="0" headerRowDxfId="14" headerRowBorderDxfId="13" tableBorderDxfId="12" totalsRowBorderDxfId="11">
  <autoFilter ref="B4:L6" xr:uid="{DA391C0A-9EFE-421A-B582-2CA41B7D5C70}"/>
  <tableColumns count="11">
    <tableColumn id="1" xr3:uid="{41C630DD-F8A9-4149-84AA-2F2064F3DDA1}" name="Product/Year" dataDxfId="10"/>
    <tableColumn id="2" xr3:uid="{E3CB7DAD-257C-477F-A4CC-F2184CF6F2E5}" name="1" dataDxfId="9">
      <calculatedColumnFormula>300000-C4</calculatedColumnFormula>
    </tableColumn>
    <tableColumn id="3" xr3:uid="{316755A7-3262-4F80-80A9-77204B8819AD}" name="2" dataDxfId="8">
      <calculatedColumnFormula>300000-D4</calculatedColumnFormula>
    </tableColumn>
    <tableColumn id="4" xr3:uid="{7589099A-1BCD-41C7-8812-9FF7A4B96F58}" name="3" dataDxfId="7">
      <calculatedColumnFormula>300000-E4</calculatedColumnFormula>
    </tableColumn>
    <tableColumn id="5" xr3:uid="{DE292433-A794-4B11-AC71-B1ECFD3C53C3}" name="4" dataDxfId="6">
      <calculatedColumnFormula>300000-F4</calculatedColumnFormula>
    </tableColumn>
    <tableColumn id="6" xr3:uid="{E1A5FAB8-F5DD-4ACA-96CB-3D22917681A1}" name="5" dataDxfId="5">
      <calculatedColumnFormula>300000-G4</calculatedColumnFormula>
    </tableColumn>
    <tableColumn id="7" xr3:uid="{F4F7B7C1-3155-459F-9B7A-07E93765AB92}" name="6" dataDxfId="4">
      <calculatedColumnFormula>300000-H4</calculatedColumnFormula>
    </tableColumn>
    <tableColumn id="8" xr3:uid="{A15F80F1-4178-4B1F-A6AC-B62CACC321C8}" name="7" dataDxfId="3">
      <calculatedColumnFormula>300000-I4</calculatedColumnFormula>
    </tableColumn>
    <tableColumn id="9" xr3:uid="{A1727DF4-2DAA-4F02-BA7B-117DCEA0D51C}" name="8" dataDxfId="2">
      <calculatedColumnFormula>300000-J4</calculatedColumnFormula>
    </tableColumn>
    <tableColumn id="10" xr3:uid="{326D1781-C19F-4880-96F2-1F43FEDFBB51}" name="9" dataDxfId="1">
      <calculatedColumnFormula>300000-K4</calculatedColumnFormula>
    </tableColumn>
    <tableColumn id="11" xr3:uid="{398C3E47-08BA-493A-98C1-30A5EBF402CA}" name="10" dataDxfId="0">
      <calculatedColumnFormula>300000-L4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DB6A-2044-2941-B0AE-D07D9FB2FACE}">
  <dimension ref="B1:G19"/>
  <sheetViews>
    <sheetView showGridLines="0" tabSelected="1" zoomScale="228" zoomScaleNormal="170" workbookViewId="0">
      <selection activeCell="C4" sqref="C4"/>
    </sheetView>
  </sheetViews>
  <sheetFormatPr baseColWidth="10" defaultColWidth="8.83203125" defaultRowHeight="15" x14ac:dyDescent="0.2"/>
  <cols>
    <col min="1" max="1" width="4.1640625" customWidth="1"/>
    <col min="2" max="2" width="17.83203125" customWidth="1"/>
    <col min="3" max="3" width="12.6640625" customWidth="1"/>
    <col min="4" max="4" width="15.33203125" customWidth="1"/>
    <col min="5" max="6" width="14" bestFit="1" customWidth="1"/>
    <col min="7" max="7" width="6" customWidth="1"/>
    <col min="8" max="8" width="4.6640625" customWidth="1"/>
  </cols>
  <sheetData>
    <row r="1" spans="2:7" ht="16" thickBot="1" x14ac:dyDescent="0.25"/>
    <row r="2" spans="2:7" ht="27.5" customHeight="1" thickBot="1" x14ac:dyDescent="0.25">
      <c r="B2" s="118" t="s">
        <v>88</v>
      </c>
      <c r="C2" s="119"/>
      <c r="D2" s="119"/>
      <c r="E2" s="119"/>
      <c r="F2" s="119"/>
      <c r="G2" s="120"/>
    </row>
    <row r="3" spans="2:7" ht="21.75" customHeight="1" thickTop="1" x14ac:dyDescent="0.2">
      <c r="B3" s="1" t="s">
        <v>9</v>
      </c>
      <c r="C3" s="121" t="s">
        <v>89</v>
      </c>
      <c r="D3" s="122"/>
      <c r="E3" s="122"/>
      <c r="F3" s="123"/>
      <c r="G3" s="124" t="s">
        <v>6</v>
      </c>
    </row>
    <row r="4" spans="2:7" ht="45" x14ac:dyDescent="0.2">
      <c r="B4" s="2" t="s">
        <v>8</v>
      </c>
      <c r="C4" s="3" t="s">
        <v>0</v>
      </c>
      <c r="D4" s="3" t="s">
        <v>85</v>
      </c>
      <c r="E4" s="4" t="s">
        <v>74</v>
      </c>
      <c r="F4" s="4" t="s">
        <v>75</v>
      </c>
      <c r="G4" s="125"/>
    </row>
    <row r="5" spans="2:7" ht="18.75" customHeight="1" x14ac:dyDescent="0.2">
      <c r="B5" s="127" t="s">
        <v>16</v>
      </c>
      <c r="C5" s="128"/>
      <c r="D5" s="128"/>
      <c r="E5" s="128"/>
      <c r="F5" s="128"/>
      <c r="G5" s="125"/>
    </row>
    <row r="6" spans="2:7" ht="45" x14ac:dyDescent="0.2">
      <c r="B6" s="2" t="s">
        <v>11</v>
      </c>
      <c r="C6" s="5">
        <f>1695.18</f>
        <v>1695.18</v>
      </c>
      <c r="D6" s="5">
        <f>1406.27</f>
        <v>1406.27</v>
      </c>
      <c r="E6" s="6">
        <v>2990.48</v>
      </c>
      <c r="F6" s="6">
        <f>3416.86</f>
        <v>3416.86</v>
      </c>
      <c r="G6" s="125"/>
    </row>
    <row r="7" spans="2:7" ht="60" x14ac:dyDescent="0.2">
      <c r="B7" s="2" t="s">
        <v>12</v>
      </c>
      <c r="C7" s="35">
        <f>3126.94</f>
        <v>3126.94</v>
      </c>
      <c r="D7" s="35">
        <f>2435.92</f>
        <v>2435.92</v>
      </c>
      <c r="E7" s="34">
        <f>5103.78</f>
        <v>5103.78</v>
      </c>
      <c r="F7" s="34">
        <f>6362.16</f>
        <v>6362.16</v>
      </c>
      <c r="G7" s="125"/>
    </row>
    <row r="8" spans="2:7" ht="30" x14ac:dyDescent="0.2">
      <c r="B8" s="7" t="s">
        <v>1</v>
      </c>
      <c r="C8" s="8">
        <f>C7*12*20</f>
        <v>750465.6</v>
      </c>
      <c r="D8" s="8">
        <f>D7*12*20</f>
        <v>584620.80000000005</v>
      </c>
      <c r="E8" s="9">
        <f>E7*12*10</f>
        <v>612453.6</v>
      </c>
      <c r="F8" s="9">
        <f>F7*12*10</f>
        <v>763459.2</v>
      </c>
      <c r="G8" s="125"/>
    </row>
    <row r="9" spans="2:7" ht="18.75" customHeight="1" x14ac:dyDescent="0.2">
      <c r="B9" s="127" t="s">
        <v>15</v>
      </c>
      <c r="C9" s="128"/>
      <c r="D9" s="128"/>
      <c r="E9" s="128"/>
      <c r="F9" s="128"/>
      <c r="G9" s="125"/>
    </row>
    <row r="10" spans="2:7" ht="30" x14ac:dyDescent="0.2">
      <c r="B10" s="2" t="s">
        <v>13</v>
      </c>
      <c r="C10" s="5">
        <f>C6/2</f>
        <v>847.59</v>
      </c>
      <c r="D10" s="5">
        <f>D6/2</f>
        <v>703.13499999999999</v>
      </c>
      <c r="E10" s="6">
        <f>E6/2</f>
        <v>1495.24</v>
      </c>
      <c r="F10" s="6">
        <f>F6/2</f>
        <v>1708.43</v>
      </c>
      <c r="G10" s="125"/>
    </row>
    <row r="11" spans="2:7" ht="31" thickBot="1" x14ac:dyDescent="0.25">
      <c r="B11" s="10" t="s">
        <v>14</v>
      </c>
      <c r="C11" s="11">
        <f>C6</f>
        <v>1695.18</v>
      </c>
      <c r="D11" s="11">
        <f>D6</f>
        <v>1406.27</v>
      </c>
      <c r="E11" s="12">
        <f>E6</f>
        <v>2990.48</v>
      </c>
      <c r="F11" s="12">
        <f>F6</f>
        <v>3416.86</v>
      </c>
      <c r="G11" s="126"/>
    </row>
    <row r="12" spans="2:7" ht="16" thickTop="1" x14ac:dyDescent="0.2">
      <c r="B12" s="113" t="s">
        <v>10</v>
      </c>
      <c r="C12" s="114"/>
      <c r="D12" s="114"/>
      <c r="E12" s="114"/>
      <c r="F12" s="114"/>
      <c r="G12" s="115" t="s">
        <v>7</v>
      </c>
    </row>
    <row r="13" spans="2:7" ht="30" x14ac:dyDescent="0.2">
      <c r="B13" s="2" t="s">
        <v>2</v>
      </c>
      <c r="C13" s="13">
        <v>10</v>
      </c>
      <c r="D13" s="13">
        <v>10</v>
      </c>
      <c r="E13" s="14">
        <v>10</v>
      </c>
      <c r="F13" s="14">
        <v>10</v>
      </c>
      <c r="G13" s="116"/>
    </row>
    <row r="14" spans="2:7" ht="29.75" customHeight="1" x14ac:dyDescent="0.2">
      <c r="B14" s="7" t="s">
        <v>5</v>
      </c>
      <c r="C14" s="8">
        <v>30000</v>
      </c>
      <c r="D14" s="8">
        <v>30000</v>
      </c>
      <c r="E14" s="9">
        <v>30000</v>
      </c>
      <c r="F14" s="9">
        <v>30000</v>
      </c>
      <c r="G14" s="116"/>
    </row>
    <row r="15" spans="2:7" ht="42" customHeight="1" x14ac:dyDescent="0.2">
      <c r="B15" s="2" t="s">
        <v>3</v>
      </c>
      <c r="C15" s="5">
        <f>C14/12</f>
        <v>2500</v>
      </c>
      <c r="D15" s="5">
        <f t="shared" ref="D15:F15" si="0">D14/12</f>
        <v>2500</v>
      </c>
      <c r="E15" s="6">
        <f t="shared" si="0"/>
        <v>2500</v>
      </c>
      <c r="F15" s="6">
        <f t="shared" si="0"/>
        <v>2500</v>
      </c>
      <c r="G15" s="116"/>
    </row>
    <row r="16" spans="2:7" ht="31" thickBot="1" x14ac:dyDescent="0.25">
      <c r="B16" s="15" t="s">
        <v>4</v>
      </c>
      <c r="C16" s="16">
        <f>C14*C13</f>
        <v>300000</v>
      </c>
      <c r="D16" s="16">
        <f t="shared" ref="D16:F16" si="1">D14*D13</f>
        <v>300000</v>
      </c>
      <c r="E16" s="17">
        <f t="shared" si="1"/>
        <v>300000</v>
      </c>
      <c r="F16" s="17">
        <f t="shared" si="1"/>
        <v>300000</v>
      </c>
      <c r="G16" s="117"/>
    </row>
    <row r="19" spans="2:2" x14ac:dyDescent="0.2">
      <c r="B19" t="s">
        <v>76</v>
      </c>
    </row>
  </sheetData>
  <mergeCells count="7">
    <mergeCell ref="B12:F12"/>
    <mergeCell ref="G12:G16"/>
    <mergeCell ref="B2:G2"/>
    <mergeCell ref="C3:F3"/>
    <mergeCell ref="G3:G11"/>
    <mergeCell ref="B5:F5"/>
    <mergeCell ref="B9:F9"/>
  </mergeCells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51FA-E5AB-5D44-9564-89CAFCAA69CD}">
  <dimension ref="B1:G19"/>
  <sheetViews>
    <sheetView showGridLines="0" zoomScale="225" zoomScaleNormal="160" workbookViewId="0">
      <selection activeCell="B3" sqref="B3"/>
    </sheetView>
  </sheetViews>
  <sheetFormatPr baseColWidth="10" defaultColWidth="8.83203125" defaultRowHeight="15" x14ac:dyDescent="0.2"/>
  <cols>
    <col min="1" max="1" width="4.1640625" customWidth="1"/>
    <col min="2" max="2" width="17.83203125" customWidth="1"/>
    <col min="3" max="3" width="12.6640625" customWidth="1"/>
    <col min="4" max="4" width="15.33203125" customWidth="1"/>
    <col min="5" max="6" width="14" bestFit="1" customWidth="1"/>
    <col min="7" max="7" width="6" customWidth="1"/>
    <col min="8" max="8" width="4.6640625" customWidth="1"/>
  </cols>
  <sheetData>
    <row r="1" spans="2:7" ht="16" thickBot="1" x14ac:dyDescent="0.25"/>
    <row r="2" spans="2:7" ht="27.5" customHeight="1" thickBot="1" x14ac:dyDescent="0.25">
      <c r="B2" s="118" t="s">
        <v>90</v>
      </c>
      <c r="C2" s="119"/>
      <c r="D2" s="119"/>
      <c r="E2" s="119"/>
      <c r="F2" s="119"/>
      <c r="G2" s="120"/>
    </row>
    <row r="3" spans="2:7" ht="21.75" customHeight="1" thickTop="1" x14ac:dyDescent="0.2">
      <c r="B3" s="1" t="s">
        <v>9</v>
      </c>
      <c r="C3" s="121" t="s">
        <v>87</v>
      </c>
      <c r="D3" s="122"/>
      <c r="E3" s="122"/>
      <c r="F3" s="123"/>
      <c r="G3" s="124" t="s">
        <v>6</v>
      </c>
    </row>
    <row r="4" spans="2:7" ht="45" x14ac:dyDescent="0.2">
      <c r="B4" s="2" t="s">
        <v>8</v>
      </c>
      <c r="C4" s="3" t="s">
        <v>0</v>
      </c>
      <c r="D4" s="3" t="s">
        <v>86</v>
      </c>
      <c r="E4" s="4" t="s">
        <v>74</v>
      </c>
      <c r="F4" s="4" t="s">
        <v>75</v>
      </c>
      <c r="G4" s="125"/>
    </row>
    <row r="5" spans="2:7" ht="18.75" customHeight="1" x14ac:dyDescent="0.2">
      <c r="B5" s="127" t="s">
        <v>16</v>
      </c>
      <c r="C5" s="128"/>
      <c r="D5" s="128"/>
      <c r="E5" s="128"/>
      <c r="F5" s="128"/>
      <c r="G5" s="125"/>
    </row>
    <row r="6" spans="2:7" ht="45" x14ac:dyDescent="0.2">
      <c r="B6" s="2" t="s">
        <v>11</v>
      </c>
      <c r="C6" s="5">
        <f>1696.18</f>
        <v>1696.18</v>
      </c>
      <c r="D6" s="5">
        <f>1783.01</f>
        <v>1783.01</v>
      </c>
      <c r="E6" s="6">
        <f>2990.48</f>
        <v>2990.48</v>
      </c>
      <c r="F6" s="6">
        <f>3416.86</f>
        <v>3416.86</v>
      </c>
      <c r="G6" s="125"/>
    </row>
    <row r="7" spans="2:7" ht="60" x14ac:dyDescent="0.2">
      <c r="B7" s="2" t="s">
        <v>12</v>
      </c>
      <c r="C7" s="35">
        <f>3112.63</f>
        <v>3112.63</v>
      </c>
      <c r="D7" s="35">
        <f>3867.82</f>
        <v>3867.82</v>
      </c>
      <c r="E7" s="34">
        <f>5082.64</f>
        <v>5082.6400000000003</v>
      </c>
      <c r="F7" s="34">
        <f>6332.71</f>
        <v>6332.71</v>
      </c>
      <c r="G7" s="125"/>
    </row>
    <row r="8" spans="2:7" ht="30" x14ac:dyDescent="0.2">
      <c r="B8" s="7" t="s">
        <v>1</v>
      </c>
      <c r="C8" s="8">
        <f>C7*12*20</f>
        <v>747031.2</v>
      </c>
      <c r="D8" s="8">
        <f>D7*12*20</f>
        <v>928276.8</v>
      </c>
      <c r="E8" s="9">
        <f>E7*12*10</f>
        <v>609916.80000000005</v>
      </c>
      <c r="F8" s="9">
        <f>F7*12*10</f>
        <v>759925.20000000007</v>
      </c>
      <c r="G8" s="125"/>
    </row>
    <row r="9" spans="2:7" ht="18.75" customHeight="1" x14ac:dyDescent="0.2">
      <c r="B9" s="127" t="s">
        <v>15</v>
      </c>
      <c r="C9" s="128"/>
      <c r="D9" s="128"/>
      <c r="E9" s="128"/>
      <c r="F9" s="128"/>
      <c r="G9" s="125"/>
    </row>
    <row r="10" spans="2:7" ht="30" x14ac:dyDescent="0.2">
      <c r="B10" s="2" t="s">
        <v>13</v>
      </c>
      <c r="C10" s="5">
        <f>C6/2</f>
        <v>848.09</v>
      </c>
      <c r="D10" s="5">
        <f>D6/2</f>
        <v>891.505</v>
      </c>
      <c r="E10" s="6">
        <f>E6/2</f>
        <v>1495.24</v>
      </c>
      <c r="F10" s="6">
        <f>F6/2</f>
        <v>1708.43</v>
      </c>
      <c r="G10" s="125"/>
    </row>
    <row r="11" spans="2:7" ht="31" thickBot="1" x14ac:dyDescent="0.25">
      <c r="B11" s="10" t="s">
        <v>14</v>
      </c>
      <c r="C11" s="11">
        <f>C6</f>
        <v>1696.18</v>
      </c>
      <c r="D11" s="11">
        <f>D6</f>
        <v>1783.01</v>
      </c>
      <c r="E11" s="12">
        <f>E6</f>
        <v>2990.48</v>
      </c>
      <c r="F11" s="12">
        <f>F6</f>
        <v>3416.86</v>
      </c>
      <c r="G11" s="126"/>
    </row>
    <row r="12" spans="2:7" ht="16" thickTop="1" x14ac:dyDescent="0.2">
      <c r="B12" s="113" t="s">
        <v>10</v>
      </c>
      <c r="C12" s="114"/>
      <c r="D12" s="114"/>
      <c r="E12" s="114"/>
      <c r="F12" s="114"/>
      <c r="G12" s="115" t="s">
        <v>7</v>
      </c>
    </row>
    <row r="13" spans="2:7" ht="30" x14ac:dyDescent="0.2">
      <c r="B13" s="2" t="s">
        <v>2</v>
      </c>
      <c r="C13" s="13">
        <v>10</v>
      </c>
      <c r="D13" s="13">
        <v>10</v>
      </c>
      <c r="E13" s="14">
        <v>10</v>
      </c>
      <c r="F13" s="14">
        <v>10</v>
      </c>
      <c r="G13" s="116"/>
    </row>
    <row r="14" spans="2:7" ht="29.75" customHeight="1" x14ac:dyDescent="0.2">
      <c r="B14" s="7" t="s">
        <v>5</v>
      </c>
      <c r="C14" s="8">
        <v>30000</v>
      </c>
      <c r="D14" s="8">
        <v>30000</v>
      </c>
      <c r="E14" s="9">
        <v>30000</v>
      </c>
      <c r="F14" s="9">
        <v>30000</v>
      </c>
      <c r="G14" s="116"/>
    </row>
    <row r="15" spans="2:7" ht="42" customHeight="1" x14ac:dyDescent="0.2">
      <c r="B15" s="2" t="s">
        <v>3</v>
      </c>
      <c r="C15" s="5">
        <f>C14/12</f>
        <v>2500</v>
      </c>
      <c r="D15" s="5">
        <f t="shared" ref="D15:F15" si="0">D14/12</f>
        <v>2500</v>
      </c>
      <c r="E15" s="6">
        <f t="shared" si="0"/>
        <v>2500</v>
      </c>
      <c r="F15" s="6">
        <f t="shared" si="0"/>
        <v>2500</v>
      </c>
      <c r="G15" s="116"/>
    </row>
    <row r="16" spans="2:7" ht="31" thickBot="1" x14ac:dyDescent="0.25">
      <c r="B16" s="15" t="s">
        <v>4</v>
      </c>
      <c r="C16" s="16">
        <f>C14*C13</f>
        <v>300000</v>
      </c>
      <c r="D16" s="16">
        <f t="shared" ref="D16:F16" si="1">D14*D13</f>
        <v>300000</v>
      </c>
      <c r="E16" s="17">
        <f t="shared" si="1"/>
        <v>300000</v>
      </c>
      <c r="F16" s="17">
        <f t="shared" si="1"/>
        <v>300000</v>
      </c>
      <c r="G16" s="117"/>
    </row>
    <row r="19" spans="2:2" x14ac:dyDescent="0.2">
      <c r="B19" t="s">
        <v>76</v>
      </c>
    </row>
  </sheetData>
  <mergeCells count="7">
    <mergeCell ref="B12:F12"/>
    <mergeCell ref="G12:G16"/>
    <mergeCell ref="B2:G2"/>
    <mergeCell ref="C3:F3"/>
    <mergeCell ref="G3:G11"/>
    <mergeCell ref="B5:F5"/>
    <mergeCell ref="B9:F9"/>
  </mergeCells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7157-39D5-534C-8010-8B83A9F1442D}">
  <dimension ref="A6:G13"/>
  <sheetViews>
    <sheetView topLeftCell="A5" zoomScale="120" zoomScaleNormal="120" workbookViewId="0">
      <selection activeCell="C11" sqref="C11"/>
    </sheetView>
  </sheetViews>
  <sheetFormatPr baseColWidth="10" defaultColWidth="10.83203125" defaultRowHeight="15" x14ac:dyDescent="0.2"/>
  <cols>
    <col min="1" max="1" width="24.5" customWidth="1"/>
    <col min="2" max="2" width="15.5" bestFit="1" customWidth="1"/>
    <col min="3" max="3" width="20.1640625" bestFit="1" customWidth="1"/>
    <col min="4" max="4" width="15.6640625" bestFit="1" customWidth="1"/>
    <col min="5" max="5" width="11.33203125" bestFit="1" customWidth="1"/>
    <col min="6" max="6" width="15.83203125" customWidth="1"/>
    <col min="7" max="7" width="24.1640625" customWidth="1"/>
    <col min="8" max="8" width="17.1640625" customWidth="1"/>
  </cols>
  <sheetData>
    <row r="6" spans="1:7" x14ac:dyDescent="0.2">
      <c r="A6" s="129" t="s">
        <v>17</v>
      </c>
      <c r="B6" s="129"/>
    </row>
    <row r="7" spans="1:7" x14ac:dyDescent="0.2">
      <c r="A7" s="18"/>
      <c r="B7" s="18"/>
    </row>
    <row r="8" spans="1:7" x14ac:dyDescent="0.2">
      <c r="A8" s="19" t="s">
        <v>18</v>
      </c>
      <c r="B8" s="18"/>
    </row>
    <row r="9" spans="1:7" ht="32" x14ac:dyDescent="0.2">
      <c r="A9" s="20"/>
      <c r="B9" s="20"/>
      <c r="C9" s="130" t="s">
        <v>19</v>
      </c>
      <c r="D9" s="131"/>
      <c r="E9" s="131"/>
      <c r="F9" s="131"/>
      <c r="G9" s="21" t="s">
        <v>20</v>
      </c>
    </row>
    <row r="10" spans="1:7" ht="96" x14ac:dyDescent="0.2">
      <c r="A10" s="21" t="s">
        <v>21</v>
      </c>
      <c r="B10" s="22" t="s">
        <v>22</v>
      </c>
      <c r="C10" s="21" t="s">
        <v>23</v>
      </c>
      <c r="D10" s="22" t="s">
        <v>24</v>
      </c>
      <c r="E10" s="21" t="s">
        <v>25</v>
      </c>
      <c r="F10" s="22" t="s">
        <v>26</v>
      </c>
      <c r="G10" s="22" t="s">
        <v>27</v>
      </c>
    </row>
    <row r="11" spans="1:7" x14ac:dyDescent="0.2">
      <c r="A11" s="23" t="s">
        <v>30</v>
      </c>
      <c r="B11" s="24">
        <v>200000</v>
      </c>
      <c r="C11" s="25" t="s">
        <v>31</v>
      </c>
      <c r="D11" s="26">
        <f>558.52</f>
        <v>558.52</v>
      </c>
      <c r="E11" s="27">
        <f>D11*12/B11</f>
        <v>3.3511199999999998E-2</v>
      </c>
      <c r="F11" s="24">
        <f>217423</f>
        <v>217423</v>
      </c>
      <c r="G11" s="24">
        <f>514764</f>
        <v>514764</v>
      </c>
    </row>
    <row r="12" spans="1:7" x14ac:dyDescent="0.2">
      <c r="A12" s="23" t="s">
        <v>29</v>
      </c>
      <c r="B12" s="24">
        <v>500000</v>
      </c>
      <c r="C12" s="25" t="s">
        <v>28</v>
      </c>
      <c r="D12" s="26">
        <f>1709.19</f>
        <v>1709.19</v>
      </c>
      <c r="E12" s="27">
        <f>4.1%</f>
        <v>4.0999999999999995E-2</v>
      </c>
      <c r="F12" s="24">
        <f>535066</f>
        <v>535066</v>
      </c>
      <c r="G12" s="24">
        <f>1547290</f>
        <v>1547290</v>
      </c>
    </row>
    <row r="13" spans="1:7" x14ac:dyDescent="0.2">
      <c r="B13" s="28"/>
      <c r="C13" s="29"/>
      <c r="D13" s="30"/>
      <c r="E13" s="31"/>
      <c r="F13" s="28"/>
      <c r="G13" s="28"/>
    </row>
  </sheetData>
  <mergeCells count="2">
    <mergeCell ref="A6:B6"/>
    <mergeCell ref="C9:F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817E-4180-F541-83A0-4F00CE2CA0CA}">
  <dimension ref="A1:H30"/>
  <sheetViews>
    <sheetView showGridLines="0" zoomScale="147" zoomScaleNormal="147" workbookViewId="0">
      <selection activeCell="A6" sqref="A6"/>
    </sheetView>
  </sheetViews>
  <sheetFormatPr baseColWidth="10" defaultColWidth="10.83203125" defaultRowHeight="15" x14ac:dyDescent="0.2"/>
  <cols>
    <col min="1" max="1" width="11.33203125" customWidth="1"/>
    <col min="2" max="2" width="14.5" customWidth="1"/>
    <col min="3" max="3" width="17.83203125" bestFit="1" customWidth="1"/>
    <col min="4" max="4" width="18.83203125" customWidth="1"/>
    <col min="5" max="5" width="16.5" customWidth="1"/>
    <col min="6" max="6" width="17.1640625" customWidth="1"/>
    <col min="7" max="7" width="16.33203125" customWidth="1"/>
    <col min="8" max="8" width="29.83203125" customWidth="1"/>
    <col min="9" max="9" width="11.33203125" bestFit="1" customWidth="1"/>
  </cols>
  <sheetData>
    <row r="1" spans="1:8" x14ac:dyDescent="0.2">
      <c r="A1" s="132" t="s">
        <v>36</v>
      </c>
      <c r="B1" s="132"/>
      <c r="C1" s="132"/>
      <c r="D1" s="132"/>
    </row>
    <row r="2" spans="1:8" x14ac:dyDescent="0.2">
      <c r="A2" s="132"/>
      <c r="B2" s="132"/>
      <c r="C2" s="132"/>
      <c r="D2" s="132"/>
    </row>
    <row r="4" spans="1:8" ht="64" x14ac:dyDescent="0.2">
      <c r="A4" s="133" t="s">
        <v>33</v>
      </c>
      <c r="B4" s="133" t="s">
        <v>42</v>
      </c>
      <c r="C4" s="133" t="s">
        <v>41</v>
      </c>
      <c r="D4" s="130" t="s">
        <v>39</v>
      </c>
      <c r="E4" s="131"/>
      <c r="F4" s="131"/>
      <c r="G4" s="131"/>
      <c r="H4" s="21" t="s">
        <v>40</v>
      </c>
    </row>
    <row r="5" spans="1:8" ht="80" x14ac:dyDescent="0.2">
      <c r="A5" s="134"/>
      <c r="B5" s="134"/>
      <c r="C5" s="134"/>
      <c r="D5" s="21" t="s">
        <v>37</v>
      </c>
      <c r="E5" s="21" t="s">
        <v>38</v>
      </c>
      <c r="F5" s="21" t="s">
        <v>34</v>
      </c>
      <c r="G5" s="21" t="s">
        <v>35</v>
      </c>
      <c r="H5" s="21" t="s">
        <v>32</v>
      </c>
    </row>
    <row r="6" spans="1:8" x14ac:dyDescent="0.2">
      <c r="A6" s="23">
        <v>0</v>
      </c>
      <c r="B6" s="33">
        <f>200000</f>
        <v>200000</v>
      </c>
      <c r="C6" s="32">
        <v>200000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</row>
    <row r="7" spans="1:8" x14ac:dyDescent="0.2">
      <c r="A7" s="23">
        <v>1</v>
      </c>
      <c r="B7" s="32">
        <v>0</v>
      </c>
      <c r="C7" s="32">
        <f>C6+B7</f>
        <v>200000</v>
      </c>
      <c r="D7" s="32">
        <v>0</v>
      </c>
      <c r="E7" s="32">
        <f t="shared" ref="E7" si="0">D7*(A7-2)</f>
        <v>0</v>
      </c>
      <c r="F7" s="32">
        <f>160828</f>
        <v>160828</v>
      </c>
      <c r="G7" s="32">
        <f t="shared" ref="G7:G22" si="1">SUM(E7:F7)</f>
        <v>160828</v>
      </c>
      <c r="H7" s="32">
        <v>160828</v>
      </c>
    </row>
    <row r="8" spans="1:8" x14ac:dyDescent="0.2">
      <c r="A8" s="23">
        <v>2</v>
      </c>
      <c r="B8" s="32">
        <v>0</v>
      </c>
      <c r="C8" s="32">
        <f t="shared" ref="C8:C30" si="2">C7+B8</f>
        <v>200000</v>
      </c>
      <c r="D8" s="32">
        <v>0</v>
      </c>
      <c r="E8" s="32">
        <v>0</v>
      </c>
      <c r="F8" s="32">
        <f>161251</f>
        <v>161251</v>
      </c>
      <c r="G8" s="32">
        <f t="shared" si="1"/>
        <v>161251</v>
      </c>
      <c r="H8" s="32">
        <v>165452</v>
      </c>
    </row>
    <row r="9" spans="1:8" x14ac:dyDescent="0.2">
      <c r="A9" s="23">
        <v>3</v>
      </c>
      <c r="B9" s="32">
        <v>0</v>
      </c>
      <c r="C9" s="32">
        <f t="shared" si="2"/>
        <v>200000</v>
      </c>
      <c r="D9" s="32">
        <f>6702</f>
        <v>6702</v>
      </c>
      <c r="E9" s="32">
        <f t="shared" ref="E9:E30" si="3">D9*(A9-2)</f>
        <v>6702</v>
      </c>
      <c r="F9" s="32">
        <f>161674</f>
        <v>161674</v>
      </c>
      <c r="G9" s="32">
        <f t="shared" si="1"/>
        <v>168376</v>
      </c>
      <c r="H9" s="32">
        <v>172702</v>
      </c>
    </row>
    <row r="10" spans="1:8" x14ac:dyDescent="0.2">
      <c r="A10" s="23">
        <v>4</v>
      </c>
      <c r="B10" s="32">
        <v>0</v>
      </c>
      <c r="C10" s="32">
        <f t="shared" si="2"/>
        <v>200000</v>
      </c>
      <c r="D10" s="32">
        <f>6702</f>
        <v>6702</v>
      </c>
      <c r="E10" s="32">
        <f t="shared" si="3"/>
        <v>13404</v>
      </c>
      <c r="F10" s="32">
        <f>162097</f>
        <v>162097</v>
      </c>
      <c r="G10" s="32">
        <f t="shared" si="1"/>
        <v>175501</v>
      </c>
      <c r="H10" s="32">
        <v>180158</v>
      </c>
    </row>
    <row r="11" spans="1:8" x14ac:dyDescent="0.2">
      <c r="A11" s="23">
        <v>5</v>
      </c>
      <c r="B11" s="32">
        <v>0</v>
      </c>
      <c r="C11" s="32">
        <f t="shared" si="2"/>
        <v>200000</v>
      </c>
      <c r="D11" s="32">
        <f>6702</f>
        <v>6702</v>
      </c>
      <c r="E11" s="32">
        <f t="shared" si="3"/>
        <v>20106</v>
      </c>
      <c r="F11" s="32">
        <f>162520</f>
        <v>162520</v>
      </c>
      <c r="G11" s="32">
        <f t="shared" si="1"/>
        <v>182626</v>
      </c>
      <c r="H11" s="32">
        <v>187825</v>
      </c>
    </row>
    <row r="12" spans="1:8" x14ac:dyDescent="0.2">
      <c r="A12" s="23">
        <v>6</v>
      </c>
      <c r="B12" s="32">
        <v>0</v>
      </c>
      <c r="C12" s="32">
        <f t="shared" si="2"/>
        <v>200000</v>
      </c>
      <c r="D12" s="32">
        <f>6702</f>
        <v>6702</v>
      </c>
      <c r="E12" s="32">
        <f t="shared" si="3"/>
        <v>26808</v>
      </c>
      <c r="F12" s="32">
        <v>162943</v>
      </c>
      <c r="G12" s="32">
        <f t="shared" si="1"/>
        <v>189751</v>
      </c>
      <c r="H12" s="32">
        <v>195710</v>
      </c>
    </row>
    <row r="13" spans="1:8" x14ac:dyDescent="0.2">
      <c r="A13" s="23">
        <v>7</v>
      </c>
      <c r="B13" s="32">
        <v>0</v>
      </c>
      <c r="C13" s="32">
        <f t="shared" si="2"/>
        <v>200000</v>
      </c>
      <c r="D13" s="32">
        <f>6702</f>
        <v>6702</v>
      </c>
      <c r="E13" s="32">
        <f t="shared" si="3"/>
        <v>33510</v>
      </c>
      <c r="F13" s="32">
        <v>163366</v>
      </c>
      <c r="G13" s="32">
        <f t="shared" si="1"/>
        <v>196876</v>
      </c>
      <c r="H13" s="32">
        <v>203819</v>
      </c>
    </row>
    <row r="14" spans="1:8" x14ac:dyDescent="0.2">
      <c r="A14" s="23">
        <v>8</v>
      </c>
      <c r="B14" s="32">
        <v>0</v>
      </c>
      <c r="C14" s="32">
        <f t="shared" si="2"/>
        <v>200000</v>
      </c>
      <c r="D14" s="32">
        <f>6702</f>
        <v>6702</v>
      </c>
      <c r="E14" s="32">
        <f t="shared" si="3"/>
        <v>40212</v>
      </c>
      <c r="F14" s="32">
        <v>163789</v>
      </c>
      <c r="G14" s="32">
        <f t="shared" si="1"/>
        <v>204001</v>
      </c>
      <c r="H14" s="32">
        <v>212157</v>
      </c>
    </row>
    <row r="15" spans="1:8" x14ac:dyDescent="0.2">
      <c r="A15" s="23">
        <v>9</v>
      </c>
      <c r="B15" s="32">
        <v>0</v>
      </c>
      <c r="C15" s="32">
        <f t="shared" si="2"/>
        <v>200000</v>
      </c>
      <c r="D15" s="32">
        <f>6702</f>
        <v>6702</v>
      </c>
      <c r="E15" s="32">
        <f t="shared" si="3"/>
        <v>46914</v>
      </c>
      <c r="F15" s="32">
        <v>167907</v>
      </c>
      <c r="G15" s="32">
        <f t="shared" si="1"/>
        <v>214821</v>
      </c>
      <c r="H15" s="32">
        <v>224428</v>
      </c>
    </row>
    <row r="16" spans="1:8" x14ac:dyDescent="0.2">
      <c r="A16" s="23">
        <v>10</v>
      </c>
      <c r="B16" s="32">
        <v>0</v>
      </c>
      <c r="C16" s="32">
        <f t="shared" si="2"/>
        <v>200000</v>
      </c>
      <c r="D16" s="32">
        <f>6702</f>
        <v>6702</v>
      </c>
      <c r="E16" s="32">
        <f t="shared" si="3"/>
        <v>53616</v>
      </c>
      <c r="F16" s="32">
        <v>172992</v>
      </c>
      <c r="G16" s="32">
        <f t="shared" si="1"/>
        <v>226608</v>
      </c>
      <c r="H16" s="32">
        <v>237911</v>
      </c>
    </row>
    <row r="17" spans="1:8" x14ac:dyDescent="0.2">
      <c r="A17" s="23">
        <v>11</v>
      </c>
      <c r="B17" s="32">
        <v>0</v>
      </c>
      <c r="C17" s="32">
        <f t="shared" si="2"/>
        <v>200000</v>
      </c>
      <c r="D17" s="32">
        <f>6702</f>
        <v>6702</v>
      </c>
      <c r="E17" s="32">
        <f t="shared" si="3"/>
        <v>60318</v>
      </c>
      <c r="F17" s="32">
        <v>175466</v>
      </c>
      <c r="G17" s="32">
        <f t="shared" si="1"/>
        <v>235784</v>
      </c>
      <c r="H17" s="32">
        <v>249034</v>
      </c>
    </row>
    <row r="18" spans="1:8" x14ac:dyDescent="0.2">
      <c r="A18" s="23">
        <v>12</v>
      </c>
      <c r="B18" s="32">
        <v>0</v>
      </c>
      <c r="C18" s="32">
        <f t="shared" si="2"/>
        <v>200000</v>
      </c>
      <c r="D18" s="32">
        <f>6702</f>
        <v>6702</v>
      </c>
      <c r="E18" s="32">
        <f t="shared" si="3"/>
        <v>67020</v>
      </c>
      <c r="F18" s="32">
        <v>178160</v>
      </c>
      <c r="G18" s="32">
        <f t="shared" si="1"/>
        <v>245180</v>
      </c>
      <c r="H18" s="32">
        <v>260638</v>
      </c>
    </row>
    <row r="19" spans="1:8" x14ac:dyDescent="0.2">
      <c r="A19" s="23">
        <v>13</v>
      </c>
      <c r="B19" s="32">
        <v>0</v>
      </c>
      <c r="C19" s="32">
        <f t="shared" si="2"/>
        <v>200000</v>
      </c>
      <c r="D19" s="32">
        <f>6702</f>
        <v>6702</v>
      </c>
      <c r="E19" s="32">
        <f t="shared" si="3"/>
        <v>73722</v>
      </c>
      <c r="F19" s="32">
        <v>181076</v>
      </c>
      <c r="G19" s="32">
        <f t="shared" si="1"/>
        <v>254798</v>
      </c>
      <c r="H19" s="32">
        <v>272730</v>
      </c>
    </row>
    <row r="20" spans="1:8" x14ac:dyDescent="0.2">
      <c r="A20" s="23">
        <v>14</v>
      </c>
      <c r="B20" s="32">
        <v>0</v>
      </c>
      <c r="C20" s="32">
        <f t="shared" si="2"/>
        <v>200000</v>
      </c>
      <c r="D20" s="32">
        <f>6702</f>
        <v>6702</v>
      </c>
      <c r="E20" s="32">
        <f t="shared" si="3"/>
        <v>80424</v>
      </c>
      <c r="F20" s="32">
        <v>184212</v>
      </c>
      <c r="G20" s="32">
        <f t="shared" si="1"/>
        <v>264636</v>
      </c>
      <c r="H20" s="32">
        <v>285318</v>
      </c>
    </row>
    <row r="21" spans="1:8" x14ac:dyDescent="0.2">
      <c r="A21" s="23">
        <v>15</v>
      </c>
      <c r="B21" s="32">
        <v>0</v>
      </c>
      <c r="C21" s="32">
        <f t="shared" si="2"/>
        <v>200000</v>
      </c>
      <c r="D21" s="32">
        <f>6702</f>
        <v>6702</v>
      </c>
      <c r="E21" s="32">
        <f t="shared" si="3"/>
        <v>87126</v>
      </c>
      <c r="F21" s="32">
        <v>187601</v>
      </c>
      <c r="G21" s="32">
        <f t="shared" si="1"/>
        <v>274727</v>
      </c>
      <c r="H21" s="32">
        <v>298443</v>
      </c>
    </row>
    <row r="22" spans="1:8" x14ac:dyDescent="0.2">
      <c r="A22" s="23">
        <v>16</v>
      </c>
      <c r="B22" s="32">
        <v>0</v>
      </c>
      <c r="C22" s="32">
        <f t="shared" si="2"/>
        <v>200000</v>
      </c>
      <c r="D22" s="32">
        <f>6702</f>
        <v>6702</v>
      </c>
      <c r="E22" s="32">
        <f t="shared" si="3"/>
        <v>93828</v>
      </c>
      <c r="F22" s="32">
        <v>189247</v>
      </c>
      <c r="G22" s="32">
        <f t="shared" si="1"/>
        <v>283075</v>
      </c>
      <c r="H22" s="32">
        <v>310116</v>
      </c>
    </row>
    <row r="23" spans="1:8" x14ac:dyDescent="0.2">
      <c r="A23" s="23">
        <v>17</v>
      </c>
      <c r="B23" s="32">
        <v>0</v>
      </c>
      <c r="C23" s="32">
        <f t="shared" si="2"/>
        <v>200000</v>
      </c>
      <c r="D23" s="32">
        <f>6702</f>
        <v>6702</v>
      </c>
      <c r="E23" s="32">
        <f t="shared" si="3"/>
        <v>100530</v>
      </c>
      <c r="F23" s="32">
        <v>190873</v>
      </c>
      <c r="G23" s="32">
        <f t="shared" ref="G23:G30" si="4">SUM(E23:F23)</f>
        <v>291403</v>
      </c>
      <c r="H23" s="32">
        <v>322071</v>
      </c>
    </row>
    <row r="24" spans="1:8" x14ac:dyDescent="0.2">
      <c r="A24" s="23">
        <v>18</v>
      </c>
      <c r="B24" s="32">
        <v>0</v>
      </c>
      <c r="C24" s="32">
        <f t="shared" si="2"/>
        <v>200000</v>
      </c>
      <c r="D24" s="32">
        <f>6702</f>
        <v>6702</v>
      </c>
      <c r="E24" s="32">
        <f t="shared" si="3"/>
        <v>107232</v>
      </c>
      <c r="F24" s="32">
        <v>192477</v>
      </c>
      <c r="G24" s="32">
        <f t="shared" si="4"/>
        <v>299709</v>
      </c>
      <c r="H24" s="32">
        <v>334313</v>
      </c>
    </row>
    <row r="25" spans="1:8" x14ac:dyDescent="0.2">
      <c r="A25" s="23">
        <v>19</v>
      </c>
      <c r="B25" s="32">
        <v>0</v>
      </c>
      <c r="C25" s="32">
        <f t="shared" si="2"/>
        <v>200000</v>
      </c>
      <c r="D25" s="32">
        <f>6702</f>
        <v>6702</v>
      </c>
      <c r="E25" s="32">
        <f t="shared" si="3"/>
        <v>113934</v>
      </c>
      <c r="F25" s="32">
        <v>194061</v>
      </c>
      <c r="G25" s="32">
        <f t="shared" si="4"/>
        <v>307995</v>
      </c>
      <c r="H25" s="32">
        <v>346854</v>
      </c>
    </row>
    <row r="26" spans="1:8" x14ac:dyDescent="0.2">
      <c r="A26" s="23">
        <v>20</v>
      </c>
      <c r="B26" s="32">
        <v>0</v>
      </c>
      <c r="C26" s="32">
        <f t="shared" si="2"/>
        <v>200000</v>
      </c>
      <c r="D26" s="32">
        <f>6702</f>
        <v>6702</v>
      </c>
      <c r="E26" s="32">
        <f t="shared" si="3"/>
        <v>120636</v>
      </c>
      <c r="F26" s="32">
        <v>195582</v>
      </c>
      <c r="G26" s="32">
        <f t="shared" si="4"/>
        <v>316218</v>
      </c>
      <c r="H26" s="32">
        <v>359660</v>
      </c>
    </row>
    <row r="27" spans="1:8" x14ac:dyDescent="0.2">
      <c r="A27" s="23">
        <v>25</v>
      </c>
      <c r="B27" s="32">
        <v>0</v>
      </c>
      <c r="C27" s="32">
        <f t="shared" si="2"/>
        <v>200000</v>
      </c>
      <c r="D27" s="32">
        <f>6702</f>
        <v>6702</v>
      </c>
      <c r="E27" s="32">
        <f t="shared" si="3"/>
        <v>154146</v>
      </c>
      <c r="F27" s="32">
        <v>206200</v>
      </c>
      <c r="G27" s="32">
        <f t="shared" si="4"/>
        <v>360346</v>
      </c>
      <c r="H27" s="32">
        <v>431995</v>
      </c>
    </row>
    <row r="28" spans="1:8" x14ac:dyDescent="0.2">
      <c r="A28" s="23">
        <v>30</v>
      </c>
      <c r="B28" s="32">
        <v>0</v>
      </c>
      <c r="C28" s="32">
        <f t="shared" si="2"/>
        <v>200000</v>
      </c>
      <c r="D28" s="32">
        <f>6702</f>
        <v>6702</v>
      </c>
      <c r="E28" s="32">
        <f t="shared" si="3"/>
        <v>187656</v>
      </c>
      <c r="F28" s="32">
        <v>217423</v>
      </c>
      <c r="G28" s="32">
        <f t="shared" si="4"/>
        <v>405079</v>
      </c>
      <c r="H28" s="32">
        <v>514764</v>
      </c>
    </row>
    <row r="29" spans="1:8" x14ac:dyDescent="0.2">
      <c r="A29" s="23">
        <v>35</v>
      </c>
      <c r="B29" s="32">
        <v>0</v>
      </c>
      <c r="C29" s="32">
        <f t="shared" si="2"/>
        <v>200000</v>
      </c>
      <c r="D29" s="32">
        <f>6702</f>
        <v>6702</v>
      </c>
      <c r="E29" s="32">
        <f t="shared" si="3"/>
        <v>221166</v>
      </c>
      <c r="F29" s="32">
        <v>223279</v>
      </c>
      <c r="G29" s="32">
        <f t="shared" si="4"/>
        <v>444445</v>
      </c>
      <c r="H29" s="32">
        <v>603561</v>
      </c>
    </row>
    <row r="30" spans="1:8" x14ac:dyDescent="0.2">
      <c r="A30" s="23">
        <v>40</v>
      </c>
      <c r="B30" s="32">
        <v>0</v>
      </c>
      <c r="C30" s="32">
        <f t="shared" si="2"/>
        <v>200000</v>
      </c>
      <c r="D30" s="32">
        <f>6702</f>
        <v>6702</v>
      </c>
      <c r="E30" s="32">
        <f t="shared" si="3"/>
        <v>254676</v>
      </c>
      <c r="F30" s="32">
        <v>228426</v>
      </c>
      <c r="G30" s="32">
        <f t="shared" si="4"/>
        <v>483102</v>
      </c>
      <c r="H30" s="32">
        <v>704861</v>
      </c>
    </row>
  </sheetData>
  <mergeCells count="5">
    <mergeCell ref="D4:G4"/>
    <mergeCell ref="A1:D2"/>
    <mergeCell ref="C4:C5"/>
    <mergeCell ref="A4:A5"/>
    <mergeCell ref="B4:B5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7E6D-B14A-444C-A44B-C15B482C7770}">
  <dimension ref="B2:H60"/>
  <sheetViews>
    <sheetView showGridLines="0" zoomScale="200" zoomScaleNormal="120" workbookViewId="0">
      <selection activeCell="E19" sqref="E19:H19"/>
    </sheetView>
  </sheetViews>
  <sheetFormatPr baseColWidth="10" defaultColWidth="10.6640625" defaultRowHeight="15" x14ac:dyDescent="0.2"/>
  <cols>
    <col min="4" max="4" width="13.83203125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4.1640625" bestFit="1" customWidth="1"/>
  </cols>
  <sheetData>
    <row r="2" spans="2:8" x14ac:dyDescent="0.2">
      <c r="B2" s="76"/>
      <c r="C2" s="99" t="s">
        <v>48</v>
      </c>
      <c r="D2" s="101" t="s">
        <v>49</v>
      </c>
      <c r="E2" s="103" t="s">
        <v>50</v>
      </c>
      <c r="F2" s="104"/>
      <c r="G2" s="104"/>
      <c r="H2" s="105"/>
    </row>
    <row r="3" spans="2:8" x14ac:dyDescent="0.2">
      <c r="B3" s="77"/>
      <c r="C3" s="100"/>
      <c r="D3" s="102"/>
      <c r="E3" s="106">
        <f>6%</f>
        <v>0.06</v>
      </c>
      <c r="F3" s="107"/>
      <c r="G3" s="107"/>
      <c r="H3" s="108"/>
    </row>
    <row r="4" spans="2:8" ht="15" customHeight="1" x14ac:dyDescent="0.2">
      <c r="B4" s="112" t="s">
        <v>44</v>
      </c>
      <c r="C4" s="51">
        <v>0</v>
      </c>
      <c r="D4" s="52">
        <v>30000</v>
      </c>
      <c r="E4" s="109">
        <f>D4</f>
        <v>30000</v>
      </c>
      <c r="F4" s="110"/>
      <c r="G4" s="110"/>
      <c r="H4" s="111"/>
    </row>
    <row r="5" spans="2:8" x14ac:dyDescent="0.2">
      <c r="B5" s="112"/>
      <c r="C5" s="51">
        <v>1</v>
      </c>
      <c r="D5" s="52">
        <f>D4</f>
        <v>30000</v>
      </c>
      <c r="E5" s="109">
        <f>E4*(1+$E$3)+D5</f>
        <v>61800</v>
      </c>
      <c r="F5" s="110"/>
      <c r="G5" s="110"/>
      <c r="H5" s="111"/>
    </row>
    <row r="6" spans="2:8" x14ac:dyDescent="0.2">
      <c r="B6" s="112"/>
      <c r="C6" s="51">
        <v>2</v>
      </c>
      <c r="D6" s="52">
        <f t="shared" ref="D6:D18" si="0">D5</f>
        <v>30000</v>
      </c>
      <c r="E6" s="109">
        <f t="shared" ref="E6:E19" si="1">E5*(1+$E$3)+D6</f>
        <v>95508</v>
      </c>
      <c r="F6" s="110"/>
      <c r="G6" s="110"/>
      <c r="H6" s="111"/>
    </row>
    <row r="7" spans="2:8" x14ac:dyDescent="0.2">
      <c r="B7" s="112"/>
      <c r="C7" s="51">
        <v>3</v>
      </c>
      <c r="D7" s="52">
        <f t="shared" si="0"/>
        <v>30000</v>
      </c>
      <c r="E7" s="109">
        <f t="shared" si="1"/>
        <v>131238.48000000001</v>
      </c>
      <c r="F7" s="110"/>
      <c r="G7" s="110"/>
      <c r="H7" s="111"/>
    </row>
    <row r="8" spans="2:8" x14ac:dyDescent="0.2">
      <c r="B8" s="112"/>
      <c r="C8" s="51">
        <v>4</v>
      </c>
      <c r="D8" s="52">
        <f t="shared" si="0"/>
        <v>30000</v>
      </c>
      <c r="E8" s="109">
        <f t="shared" si="1"/>
        <v>169112.78880000001</v>
      </c>
      <c r="F8" s="110"/>
      <c r="G8" s="110"/>
      <c r="H8" s="111"/>
    </row>
    <row r="9" spans="2:8" x14ac:dyDescent="0.2">
      <c r="B9" s="112"/>
      <c r="C9" s="51">
        <v>5</v>
      </c>
      <c r="D9" s="52">
        <f t="shared" si="0"/>
        <v>30000</v>
      </c>
      <c r="E9" s="109">
        <f t="shared" si="1"/>
        <v>209259.55612800003</v>
      </c>
      <c r="F9" s="110"/>
      <c r="G9" s="110"/>
      <c r="H9" s="111"/>
    </row>
    <row r="10" spans="2:8" x14ac:dyDescent="0.2">
      <c r="B10" s="112"/>
      <c r="C10" s="51">
        <v>6</v>
      </c>
      <c r="D10" s="52">
        <f t="shared" si="0"/>
        <v>30000</v>
      </c>
      <c r="E10" s="109">
        <f t="shared" si="1"/>
        <v>251815.12949568004</v>
      </c>
      <c r="F10" s="110"/>
      <c r="G10" s="110"/>
      <c r="H10" s="111"/>
    </row>
    <row r="11" spans="2:8" x14ac:dyDescent="0.2">
      <c r="B11" s="112"/>
      <c r="C11" s="51">
        <v>7</v>
      </c>
      <c r="D11" s="52">
        <f t="shared" si="0"/>
        <v>30000</v>
      </c>
      <c r="E11" s="109">
        <f t="shared" si="1"/>
        <v>296924.03726542083</v>
      </c>
      <c r="F11" s="110"/>
      <c r="G11" s="110"/>
      <c r="H11" s="111"/>
    </row>
    <row r="12" spans="2:8" x14ac:dyDescent="0.2">
      <c r="B12" s="112"/>
      <c r="C12" s="51">
        <v>8</v>
      </c>
      <c r="D12" s="52">
        <f t="shared" si="0"/>
        <v>30000</v>
      </c>
      <c r="E12" s="109">
        <f t="shared" si="1"/>
        <v>344739.47950134613</v>
      </c>
      <c r="F12" s="110"/>
      <c r="G12" s="110"/>
      <c r="H12" s="111"/>
    </row>
    <row r="13" spans="2:8" x14ac:dyDescent="0.2">
      <c r="B13" s="112"/>
      <c r="C13" s="51">
        <v>9</v>
      </c>
      <c r="D13" s="52">
        <f t="shared" si="0"/>
        <v>30000</v>
      </c>
      <c r="E13" s="109">
        <f t="shared" si="1"/>
        <v>395423.84827142692</v>
      </c>
      <c r="F13" s="110"/>
      <c r="G13" s="110"/>
      <c r="H13" s="111"/>
    </row>
    <row r="14" spans="2:8" x14ac:dyDescent="0.2">
      <c r="B14" s="112"/>
      <c r="C14" s="51">
        <v>10</v>
      </c>
      <c r="D14" s="52">
        <f t="shared" si="0"/>
        <v>30000</v>
      </c>
      <c r="E14" s="109">
        <f t="shared" si="1"/>
        <v>449149.27916771255</v>
      </c>
      <c r="F14" s="110"/>
      <c r="G14" s="110"/>
      <c r="H14" s="111"/>
    </row>
    <row r="15" spans="2:8" x14ac:dyDescent="0.2">
      <c r="B15" s="112"/>
      <c r="C15" s="51">
        <f>C14+1</f>
        <v>11</v>
      </c>
      <c r="D15" s="52">
        <f t="shared" si="0"/>
        <v>30000</v>
      </c>
      <c r="E15" s="109">
        <f t="shared" si="1"/>
        <v>506098.23591777531</v>
      </c>
      <c r="F15" s="110"/>
      <c r="G15" s="110"/>
      <c r="H15" s="111"/>
    </row>
    <row r="16" spans="2:8" x14ac:dyDescent="0.2">
      <c r="B16" s="112"/>
      <c r="C16" s="51">
        <f t="shared" ref="C16:C57" si="2">C15+1</f>
        <v>12</v>
      </c>
      <c r="D16" s="52">
        <f t="shared" si="0"/>
        <v>30000</v>
      </c>
      <c r="E16" s="109">
        <f t="shared" si="1"/>
        <v>566464.13007284189</v>
      </c>
      <c r="F16" s="110"/>
      <c r="G16" s="110"/>
      <c r="H16" s="111"/>
    </row>
    <row r="17" spans="2:8" x14ac:dyDescent="0.2">
      <c r="B17" s="112"/>
      <c r="C17" s="51">
        <f t="shared" si="2"/>
        <v>13</v>
      </c>
      <c r="D17" s="52">
        <f t="shared" si="0"/>
        <v>30000</v>
      </c>
      <c r="E17" s="109">
        <f t="shared" si="1"/>
        <v>630451.97787721246</v>
      </c>
      <c r="F17" s="110"/>
      <c r="G17" s="110"/>
      <c r="H17" s="111"/>
    </row>
    <row r="18" spans="2:8" x14ac:dyDescent="0.2">
      <c r="B18" s="112"/>
      <c r="C18" s="51">
        <f t="shared" si="2"/>
        <v>14</v>
      </c>
      <c r="D18" s="52">
        <f t="shared" si="0"/>
        <v>30000</v>
      </c>
      <c r="E18" s="109">
        <f t="shared" si="1"/>
        <v>698279.09654984518</v>
      </c>
      <c r="F18" s="110"/>
      <c r="G18" s="110"/>
      <c r="H18" s="111"/>
    </row>
    <row r="19" spans="2:8" x14ac:dyDescent="0.2">
      <c r="B19" s="112"/>
      <c r="C19" s="51">
        <f t="shared" si="2"/>
        <v>15</v>
      </c>
      <c r="D19" s="53">
        <v>0</v>
      </c>
      <c r="E19" s="109">
        <f t="shared" si="1"/>
        <v>740175.84234283597</v>
      </c>
      <c r="F19" s="110"/>
      <c r="G19" s="110"/>
      <c r="H19" s="111"/>
    </row>
    <row r="20" spans="2:8" ht="26" customHeight="1" x14ac:dyDescent="0.2">
      <c r="B20" s="91" t="s">
        <v>45</v>
      </c>
      <c r="C20" s="54"/>
      <c r="D20" s="55"/>
      <c r="E20" s="92" t="s">
        <v>80</v>
      </c>
      <c r="F20" s="93"/>
      <c r="G20" s="94" t="s">
        <v>79</v>
      </c>
      <c r="H20" s="95"/>
    </row>
    <row r="21" spans="2:8" ht="26" customHeight="1" x14ac:dyDescent="0.2">
      <c r="B21" s="91"/>
      <c r="C21" s="54"/>
      <c r="D21" s="55"/>
      <c r="E21" s="80" t="s">
        <v>83</v>
      </c>
      <c r="F21" s="81">
        <f>2.5%</f>
        <v>2.5000000000000001E-2</v>
      </c>
      <c r="G21" s="79" t="s">
        <v>81</v>
      </c>
      <c r="H21" s="87">
        <v>0.04</v>
      </c>
    </row>
    <row r="22" spans="2:8" ht="16" x14ac:dyDescent="0.2">
      <c r="B22" s="91"/>
      <c r="C22" s="54"/>
      <c r="D22" s="55"/>
      <c r="E22" s="47" t="s">
        <v>52</v>
      </c>
      <c r="F22" s="96" t="s">
        <v>51</v>
      </c>
      <c r="G22" s="48" t="s">
        <v>82</v>
      </c>
      <c r="H22" s="97" t="s">
        <v>51</v>
      </c>
    </row>
    <row r="23" spans="2:8" ht="23" customHeight="1" x14ac:dyDescent="0.2">
      <c r="B23" s="91"/>
      <c r="C23" s="54"/>
      <c r="D23" s="55"/>
      <c r="E23" s="49">
        <f>4%</f>
        <v>0.04</v>
      </c>
      <c r="F23" s="96"/>
      <c r="G23" s="83">
        <v>0.04</v>
      </c>
      <c r="H23" s="98"/>
    </row>
    <row r="24" spans="2:8" x14ac:dyDescent="0.2">
      <c r="B24" s="91"/>
      <c r="C24" s="56">
        <f>C19+1</f>
        <v>16</v>
      </c>
      <c r="D24" s="57">
        <v>0</v>
      </c>
      <c r="E24" s="36">
        <f t="shared" ref="E24:E57" si="3">$E$19*$E$23</f>
        <v>29607.033693713438</v>
      </c>
      <c r="F24" s="37">
        <f>$E$19</f>
        <v>740175.84234283597</v>
      </c>
      <c r="G24" s="38">
        <f>E19*$H$21</f>
        <v>29607.033693713438</v>
      </c>
      <c r="H24" s="39">
        <f>(E19-G24)*(1+$G$23)</f>
        <v>738991.56099508738</v>
      </c>
    </row>
    <row r="25" spans="2:8" x14ac:dyDescent="0.2">
      <c r="B25" s="91"/>
      <c r="C25" s="56">
        <f t="shared" si="2"/>
        <v>17</v>
      </c>
      <c r="D25" s="57">
        <v>0</v>
      </c>
      <c r="E25" s="40">
        <f t="shared" si="3"/>
        <v>29607.033693713438</v>
      </c>
      <c r="F25" s="41">
        <f t="shared" ref="F25:F57" si="4">$E$19</f>
        <v>740175.84234283597</v>
      </c>
      <c r="G25" s="42">
        <f>G24*(1+$F$21)</f>
        <v>30347.209536056271</v>
      </c>
      <c r="H25" s="39">
        <f>(H24-G25)*(1+$G$23)</f>
        <v>736990.12551739241</v>
      </c>
    </row>
    <row r="26" spans="2:8" x14ac:dyDescent="0.2">
      <c r="B26" s="91"/>
      <c r="C26" s="56">
        <f t="shared" si="2"/>
        <v>18</v>
      </c>
      <c r="D26" s="57">
        <v>0</v>
      </c>
      <c r="E26" s="40">
        <f t="shared" si="3"/>
        <v>29607.033693713438</v>
      </c>
      <c r="F26" s="41">
        <f t="shared" si="4"/>
        <v>740175.84234283597</v>
      </c>
      <c r="G26" s="42">
        <f t="shared" ref="G26:G57" si="5">G25*(1+$F$21)</f>
        <v>31105.889774457675</v>
      </c>
      <c r="H26" s="39">
        <f t="shared" ref="H26:H57" si="6">(H25-G26)*(1+$G$23)</f>
        <v>734119.60517265217</v>
      </c>
    </row>
    <row r="27" spans="2:8" ht="15" customHeight="1" x14ac:dyDescent="0.2">
      <c r="B27" s="91"/>
      <c r="C27" s="56">
        <f>C26+1</f>
        <v>19</v>
      </c>
      <c r="D27" s="57">
        <v>0</v>
      </c>
      <c r="E27" s="40">
        <f t="shared" si="3"/>
        <v>29607.033693713438</v>
      </c>
      <c r="F27" s="41">
        <f t="shared" si="4"/>
        <v>740175.84234283597</v>
      </c>
      <c r="G27" s="42">
        <f t="shared" si="5"/>
        <v>31883.537018819115</v>
      </c>
      <c r="H27" s="39">
        <f t="shared" si="6"/>
        <v>730325.51087998634</v>
      </c>
    </row>
    <row r="28" spans="2:8" x14ac:dyDescent="0.2">
      <c r="B28" s="91"/>
      <c r="C28" s="56">
        <f t="shared" si="2"/>
        <v>20</v>
      </c>
      <c r="D28" s="57">
        <v>0</v>
      </c>
      <c r="E28" s="40">
        <f t="shared" si="3"/>
        <v>29607.033693713438</v>
      </c>
      <c r="F28" s="41">
        <f t="shared" si="4"/>
        <v>740175.84234283597</v>
      </c>
      <c r="G28" s="42">
        <f t="shared" si="5"/>
        <v>32680.625444289592</v>
      </c>
      <c r="H28" s="39">
        <f t="shared" si="6"/>
        <v>725550.68085312459</v>
      </c>
    </row>
    <row r="29" spans="2:8" x14ac:dyDescent="0.2">
      <c r="B29" s="91"/>
      <c r="C29" s="56">
        <f t="shared" si="2"/>
        <v>21</v>
      </c>
      <c r="D29" s="57">
        <v>0</v>
      </c>
      <c r="E29" s="40">
        <f t="shared" si="3"/>
        <v>29607.033693713438</v>
      </c>
      <c r="F29" s="41">
        <f t="shared" si="4"/>
        <v>740175.84234283597</v>
      </c>
      <c r="G29" s="42">
        <f t="shared" si="5"/>
        <v>33497.641080396832</v>
      </c>
      <c r="H29" s="39">
        <f t="shared" si="6"/>
        <v>719735.16136363684</v>
      </c>
    </row>
    <row r="30" spans="2:8" x14ac:dyDescent="0.2">
      <c r="B30" s="91"/>
      <c r="C30" s="56">
        <f t="shared" si="2"/>
        <v>22</v>
      </c>
      <c r="D30" s="57">
        <v>0</v>
      </c>
      <c r="E30" s="40">
        <f t="shared" si="3"/>
        <v>29607.033693713438</v>
      </c>
      <c r="F30" s="41">
        <f t="shared" si="4"/>
        <v>740175.84234283597</v>
      </c>
      <c r="G30" s="42">
        <f t="shared" si="5"/>
        <v>34335.08210740675</v>
      </c>
      <c r="H30" s="39">
        <f t="shared" si="6"/>
        <v>712816.0824264792</v>
      </c>
    </row>
    <row r="31" spans="2:8" x14ac:dyDescent="0.2">
      <c r="B31" s="91"/>
      <c r="C31" s="56">
        <f t="shared" si="2"/>
        <v>23</v>
      </c>
      <c r="D31" s="57">
        <v>0</v>
      </c>
      <c r="E31" s="40">
        <f t="shared" si="3"/>
        <v>29607.033693713438</v>
      </c>
      <c r="F31" s="41">
        <f t="shared" si="4"/>
        <v>740175.84234283597</v>
      </c>
      <c r="G31" s="42">
        <f t="shared" si="5"/>
        <v>35193.459160091916</v>
      </c>
      <c r="H31" s="39">
        <f t="shared" si="6"/>
        <v>704727.52819704276</v>
      </c>
    </row>
    <row r="32" spans="2:8" x14ac:dyDescent="0.2">
      <c r="B32" s="91"/>
      <c r="C32" s="56">
        <f t="shared" si="2"/>
        <v>24</v>
      </c>
      <c r="D32" s="57">
        <v>0</v>
      </c>
      <c r="E32" s="40">
        <f t="shared" si="3"/>
        <v>29607.033693713438</v>
      </c>
      <c r="F32" s="41">
        <f t="shared" si="4"/>
        <v>740175.84234283597</v>
      </c>
      <c r="G32" s="42">
        <f t="shared" si="5"/>
        <v>36073.295639094213</v>
      </c>
      <c r="H32" s="39">
        <f t="shared" si="6"/>
        <v>695400.40186026657</v>
      </c>
    </row>
    <row r="33" spans="2:8" x14ac:dyDescent="0.2">
      <c r="B33" s="91"/>
      <c r="C33" s="56">
        <f t="shared" si="2"/>
        <v>25</v>
      </c>
      <c r="D33" s="57">
        <v>0</v>
      </c>
      <c r="E33" s="40">
        <f t="shared" si="3"/>
        <v>29607.033693713438</v>
      </c>
      <c r="F33" s="41">
        <f t="shared" si="4"/>
        <v>740175.84234283597</v>
      </c>
      <c r="G33" s="42">
        <f t="shared" si="5"/>
        <v>36975.128030071566</v>
      </c>
      <c r="H33" s="39">
        <f t="shared" si="6"/>
        <v>684762.28478340281</v>
      </c>
    </row>
    <row r="34" spans="2:8" x14ac:dyDescent="0.2">
      <c r="B34" s="91"/>
      <c r="C34" s="56">
        <f t="shared" si="2"/>
        <v>26</v>
      </c>
      <c r="D34" s="57">
        <v>0</v>
      </c>
      <c r="E34" s="40">
        <f t="shared" si="3"/>
        <v>29607.033693713438</v>
      </c>
      <c r="F34" s="41">
        <f t="shared" si="4"/>
        <v>740175.84234283597</v>
      </c>
      <c r="G34" s="42">
        <f t="shared" si="5"/>
        <v>37899.506230823354</v>
      </c>
      <c r="H34" s="39">
        <f t="shared" si="6"/>
        <v>672737.28969468269</v>
      </c>
    </row>
    <row r="35" spans="2:8" x14ac:dyDescent="0.2">
      <c r="B35" s="91"/>
      <c r="C35" s="56">
        <f t="shared" si="2"/>
        <v>27</v>
      </c>
      <c r="D35" s="57">
        <v>0</v>
      </c>
      <c r="E35" s="40">
        <f t="shared" si="3"/>
        <v>29607.033693713438</v>
      </c>
      <c r="F35" s="41">
        <f t="shared" si="4"/>
        <v>740175.84234283597</v>
      </c>
      <c r="G35" s="42">
        <f t="shared" si="5"/>
        <v>38846.993886593933</v>
      </c>
      <c r="H35" s="39">
        <f t="shared" si="6"/>
        <v>659245.90764041233</v>
      </c>
    </row>
    <row r="36" spans="2:8" x14ac:dyDescent="0.2">
      <c r="B36" s="91"/>
      <c r="C36" s="56">
        <f t="shared" si="2"/>
        <v>28</v>
      </c>
      <c r="D36" s="57">
        <v>0</v>
      </c>
      <c r="E36" s="40">
        <f t="shared" si="3"/>
        <v>29607.033693713438</v>
      </c>
      <c r="F36" s="41">
        <f t="shared" si="4"/>
        <v>740175.84234283597</v>
      </c>
      <c r="G36" s="42">
        <f t="shared" si="5"/>
        <v>39818.168733758779</v>
      </c>
      <c r="H36" s="39">
        <f t="shared" si="6"/>
        <v>644204.84846291982</v>
      </c>
    </row>
    <row r="37" spans="2:8" x14ac:dyDescent="0.2">
      <c r="B37" s="91"/>
      <c r="C37" s="56">
        <f>C36+1</f>
        <v>29</v>
      </c>
      <c r="D37" s="57">
        <v>0</v>
      </c>
      <c r="E37" s="40">
        <f t="shared" si="3"/>
        <v>29607.033693713438</v>
      </c>
      <c r="F37" s="41">
        <f t="shared" si="4"/>
        <v>740175.84234283597</v>
      </c>
      <c r="G37" s="42">
        <f t="shared" si="5"/>
        <v>40813.622952102742</v>
      </c>
      <c r="H37" s="39">
        <f t="shared" si="6"/>
        <v>627526.87453124975</v>
      </c>
    </row>
    <row r="38" spans="2:8" x14ac:dyDescent="0.2">
      <c r="B38" s="91"/>
      <c r="C38" s="56">
        <f t="shared" si="2"/>
        <v>30</v>
      </c>
      <c r="D38" s="57">
        <v>0</v>
      </c>
      <c r="E38" s="40">
        <f t="shared" si="3"/>
        <v>29607.033693713438</v>
      </c>
      <c r="F38" s="41">
        <f t="shared" si="4"/>
        <v>740175.84234283597</v>
      </c>
      <c r="G38" s="42">
        <f t="shared" si="5"/>
        <v>41833.96352590531</v>
      </c>
      <c r="H38" s="39">
        <f t="shared" si="6"/>
        <v>609120.62744555832</v>
      </c>
    </row>
    <row r="39" spans="2:8" x14ac:dyDescent="0.2">
      <c r="B39" s="91"/>
      <c r="C39" s="56">
        <f t="shared" si="2"/>
        <v>31</v>
      </c>
      <c r="D39" s="57">
        <v>0</v>
      </c>
      <c r="E39" s="40">
        <f t="shared" si="3"/>
        <v>29607.033693713438</v>
      </c>
      <c r="F39" s="41">
        <f t="shared" si="4"/>
        <v>740175.84234283597</v>
      </c>
      <c r="G39" s="42">
        <f t="shared" si="5"/>
        <v>42879.812614052942</v>
      </c>
      <c r="H39" s="39">
        <f t="shared" si="6"/>
        <v>588890.44742476568</v>
      </c>
    </row>
    <row r="40" spans="2:8" x14ac:dyDescent="0.2">
      <c r="B40" s="91"/>
      <c r="C40" s="56">
        <f t="shared" si="2"/>
        <v>32</v>
      </c>
      <c r="D40" s="57">
        <v>0</v>
      </c>
      <c r="E40" s="40">
        <f t="shared" si="3"/>
        <v>29607.033693713438</v>
      </c>
      <c r="F40" s="41">
        <f t="shared" si="4"/>
        <v>740175.84234283597</v>
      </c>
      <c r="G40" s="42">
        <f t="shared" si="5"/>
        <v>43951.807929404262</v>
      </c>
      <c r="H40" s="39">
        <f t="shared" si="6"/>
        <v>566736.18507517583</v>
      </c>
    </row>
    <row r="41" spans="2:8" x14ac:dyDescent="0.2">
      <c r="B41" s="91"/>
      <c r="C41" s="56">
        <f t="shared" si="2"/>
        <v>33</v>
      </c>
      <c r="D41" s="57">
        <v>0</v>
      </c>
      <c r="E41" s="40">
        <f t="shared" si="3"/>
        <v>29607.033693713438</v>
      </c>
      <c r="F41" s="41">
        <f t="shared" si="4"/>
        <v>740175.84234283597</v>
      </c>
      <c r="G41" s="42">
        <f t="shared" si="5"/>
        <v>45050.603127639362</v>
      </c>
      <c r="H41" s="39">
        <f t="shared" si="6"/>
        <v>542553.00522543793</v>
      </c>
    </row>
    <row r="42" spans="2:8" x14ac:dyDescent="0.2">
      <c r="B42" s="91"/>
      <c r="C42" s="56">
        <f t="shared" si="2"/>
        <v>34</v>
      </c>
      <c r="D42" s="57">
        <v>0</v>
      </c>
      <c r="E42" s="40">
        <f t="shared" si="3"/>
        <v>29607.033693713438</v>
      </c>
      <c r="F42" s="41">
        <f t="shared" si="4"/>
        <v>740175.84234283597</v>
      </c>
      <c r="G42" s="42">
        <f t="shared" si="5"/>
        <v>46176.868205830346</v>
      </c>
      <c r="H42" s="39">
        <f t="shared" si="6"/>
        <v>516231.18250039191</v>
      </c>
    </row>
    <row r="43" spans="2:8" x14ac:dyDescent="0.2">
      <c r="B43" s="91"/>
      <c r="C43" s="56">
        <f t="shared" si="2"/>
        <v>35</v>
      </c>
      <c r="D43" s="57">
        <v>0</v>
      </c>
      <c r="E43" s="40">
        <f t="shared" si="3"/>
        <v>29607.033693713438</v>
      </c>
      <c r="F43" s="41">
        <f t="shared" si="4"/>
        <v>740175.84234283597</v>
      </c>
      <c r="G43" s="42">
        <f t="shared" si="5"/>
        <v>47331.289910976098</v>
      </c>
      <c r="H43" s="39">
        <f t="shared" si="6"/>
        <v>487655.88829299249</v>
      </c>
    </row>
    <row r="44" spans="2:8" x14ac:dyDescent="0.2">
      <c r="B44" s="91"/>
      <c r="C44" s="56">
        <f t="shared" si="2"/>
        <v>36</v>
      </c>
      <c r="D44" s="57">
        <v>0</v>
      </c>
      <c r="E44" s="40">
        <f t="shared" si="3"/>
        <v>29607.033693713438</v>
      </c>
      <c r="F44" s="41">
        <f t="shared" si="4"/>
        <v>740175.84234283597</v>
      </c>
      <c r="G44" s="42">
        <f t="shared" si="5"/>
        <v>48514.572158750496</v>
      </c>
      <c r="H44" s="39">
        <f t="shared" si="6"/>
        <v>456706.96877961169</v>
      </c>
    </row>
    <row r="45" spans="2:8" x14ac:dyDescent="0.2">
      <c r="B45" s="91"/>
      <c r="C45" s="56">
        <f t="shared" si="2"/>
        <v>37</v>
      </c>
      <c r="D45" s="57">
        <v>0</v>
      </c>
      <c r="E45" s="40">
        <f t="shared" si="3"/>
        <v>29607.033693713438</v>
      </c>
      <c r="F45" s="41">
        <f t="shared" si="4"/>
        <v>740175.84234283597</v>
      </c>
      <c r="G45" s="42">
        <f t="shared" si="5"/>
        <v>49727.436462719255</v>
      </c>
      <c r="H45" s="39">
        <f t="shared" si="6"/>
        <v>423258.71360956813</v>
      </c>
    </row>
    <row r="46" spans="2:8" x14ac:dyDescent="0.2">
      <c r="B46" s="91"/>
      <c r="C46" s="56">
        <f t="shared" si="2"/>
        <v>38</v>
      </c>
      <c r="D46" s="57">
        <v>0</v>
      </c>
      <c r="E46" s="40">
        <f t="shared" si="3"/>
        <v>29607.033693713438</v>
      </c>
      <c r="F46" s="41">
        <f t="shared" si="4"/>
        <v>740175.84234283597</v>
      </c>
      <c r="G46" s="42">
        <f t="shared" si="5"/>
        <v>50970.622374287232</v>
      </c>
      <c r="H46" s="39">
        <f t="shared" si="6"/>
        <v>387179.61488469219</v>
      </c>
    </row>
    <row r="47" spans="2:8" x14ac:dyDescent="0.2">
      <c r="B47" s="91"/>
      <c r="C47" s="56">
        <f t="shared" si="2"/>
        <v>39</v>
      </c>
      <c r="D47" s="57">
        <v>0</v>
      </c>
      <c r="E47" s="40">
        <f t="shared" si="3"/>
        <v>29607.033693713438</v>
      </c>
      <c r="F47" s="41">
        <f t="shared" si="4"/>
        <v>740175.84234283597</v>
      </c>
      <c r="G47" s="42">
        <f t="shared" si="5"/>
        <v>52244.887933644408</v>
      </c>
      <c r="H47" s="39">
        <f t="shared" si="6"/>
        <v>348332.11602908972</v>
      </c>
    </row>
    <row r="48" spans="2:8" x14ac:dyDescent="0.2">
      <c r="B48" s="91"/>
      <c r="C48" s="56">
        <f t="shared" si="2"/>
        <v>40</v>
      </c>
      <c r="D48" s="57">
        <v>0</v>
      </c>
      <c r="E48" s="40">
        <f t="shared" si="3"/>
        <v>29607.033693713438</v>
      </c>
      <c r="F48" s="41">
        <f t="shared" si="4"/>
        <v>740175.84234283597</v>
      </c>
      <c r="G48" s="42">
        <f t="shared" si="5"/>
        <v>53551.010131985517</v>
      </c>
      <c r="H48" s="39">
        <f t="shared" si="6"/>
        <v>306572.35013298836</v>
      </c>
    </row>
    <row r="49" spans="2:8" x14ac:dyDescent="0.2">
      <c r="B49" s="91"/>
      <c r="C49" s="56">
        <f t="shared" si="2"/>
        <v>41</v>
      </c>
      <c r="D49" s="57">
        <v>0</v>
      </c>
      <c r="E49" s="40">
        <f t="shared" si="3"/>
        <v>29607.033693713438</v>
      </c>
      <c r="F49" s="41">
        <f t="shared" si="4"/>
        <v>740175.84234283597</v>
      </c>
      <c r="G49" s="42">
        <f t="shared" si="5"/>
        <v>54889.785385285148</v>
      </c>
      <c r="H49" s="39">
        <f t="shared" si="6"/>
        <v>261749.86733761133</v>
      </c>
    </row>
    <row r="50" spans="2:8" x14ac:dyDescent="0.2">
      <c r="B50" s="91"/>
      <c r="C50" s="56">
        <f t="shared" si="2"/>
        <v>42</v>
      </c>
      <c r="D50" s="57">
        <v>0</v>
      </c>
      <c r="E50" s="40">
        <f t="shared" si="3"/>
        <v>29607.033693713438</v>
      </c>
      <c r="F50" s="41">
        <f t="shared" si="4"/>
        <v>740175.84234283597</v>
      </c>
      <c r="G50" s="42">
        <f t="shared" si="5"/>
        <v>56262.030019917271</v>
      </c>
      <c r="H50" s="39">
        <f t="shared" si="6"/>
        <v>213707.35081040184</v>
      </c>
    </row>
    <row r="51" spans="2:8" x14ac:dyDescent="0.2">
      <c r="B51" s="91"/>
      <c r="C51" s="56">
        <f t="shared" si="2"/>
        <v>43</v>
      </c>
      <c r="D51" s="57">
        <v>0</v>
      </c>
      <c r="E51" s="40">
        <f t="shared" si="3"/>
        <v>29607.033693713438</v>
      </c>
      <c r="F51" s="41">
        <f t="shared" si="4"/>
        <v>740175.84234283597</v>
      </c>
      <c r="G51" s="42">
        <f t="shared" si="5"/>
        <v>57668.580770415196</v>
      </c>
      <c r="H51" s="39">
        <f t="shared" si="6"/>
        <v>162280.32084158613</v>
      </c>
    </row>
    <row r="52" spans="2:8" x14ac:dyDescent="0.2">
      <c r="B52" s="91"/>
      <c r="C52" s="56">
        <f t="shared" si="2"/>
        <v>44</v>
      </c>
      <c r="D52" s="57">
        <v>0</v>
      </c>
      <c r="E52" s="40">
        <f t="shared" si="3"/>
        <v>29607.033693713438</v>
      </c>
      <c r="F52" s="41">
        <f t="shared" si="4"/>
        <v>740175.84234283597</v>
      </c>
      <c r="G52" s="42">
        <f t="shared" si="5"/>
        <v>59110.295289675567</v>
      </c>
      <c r="H52" s="39">
        <f t="shared" si="6"/>
        <v>107296.826573987</v>
      </c>
    </row>
    <row r="53" spans="2:8" x14ac:dyDescent="0.2">
      <c r="B53" s="91"/>
      <c r="C53" s="56">
        <f t="shared" si="2"/>
        <v>45</v>
      </c>
      <c r="D53" s="57">
        <v>0</v>
      </c>
      <c r="E53" s="40">
        <f t="shared" si="3"/>
        <v>29607.033693713438</v>
      </c>
      <c r="F53" s="85">
        <f t="shared" si="4"/>
        <v>740175.84234283597</v>
      </c>
      <c r="G53" s="84">
        <f t="shared" si="5"/>
        <v>60588.052671917452</v>
      </c>
      <c r="H53" s="82">
        <f t="shared" si="6"/>
        <v>48577.124858152325</v>
      </c>
    </row>
    <row r="54" spans="2:8" ht="15" customHeight="1" x14ac:dyDescent="0.2">
      <c r="B54" s="91"/>
      <c r="C54" s="56">
        <f t="shared" si="2"/>
        <v>46</v>
      </c>
      <c r="D54" s="57">
        <v>0</v>
      </c>
      <c r="E54" s="40">
        <f t="shared" si="3"/>
        <v>29607.033693713438</v>
      </c>
      <c r="F54" s="85">
        <f t="shared" si="4"/>
        <v>740175.84234283597</v>
      </c>
      <c r="G54" s="84">
        <f t="shared" si="5"/>
        <v>62102.753988715383</v>
      </c>
      <c r="H54" s="82">
        <f t="shared" si="6"/>
        <v>-14066.654295785582</v>
      </c>
    </row>
    <row r="55" spans="2:8" x14ac:dyDescent="0.2">
      <c r="B55" s="91"/>
      <c r="C55" s="56">
        <f t="shared" si="2"/>
        <v>47</v>
      </c>
      <c r="D55" s="57">
        <v>0</v>
      </c>
      <c r="E55" s="40">
        <f t="shared" si="3"/>
        <v>29607.033693713438</v>
      </c>
      <c r="F55" s="85">
        <f t="shared" si="4"/>
        <v>740175.84234283597</v>
      </c>
      <c r="G55" s="84">
        <f t="shared" si="5"/>
        <v>63655.322838433261</v>
      </c>
      <c r="H55" s="82">
        <f t="shared" si="6"/>
        <v>-80830.8562195876</v>
      </c>
    </row>
    <row r="56" spans="2:8" x14ac:dyDescent="0.2">
      <c r="B56" s="91"/>
      <c r="C56" s="56">
        <f t="shared" si="2"/>
        <v>48</v>
      </c>
      <c r="D56" s="57">
        <v>0</v>
      </c>
      <c r="E56" s="40">
        <f t="shared" si="3"/>
        <v>29607.033693713438</v>
      </c>
      <c r="F56" s="85">
        <f t="shared" si="4"/>
        <v>740175.84234283597</v>
      </c>
      <c r="G56" s="84">
        <f t="shared" si="5"/>
        <v>65246.705909394084</v>
      </c>
      <c r="H56" s="82">
        <f t="shared" si="6"/>
        <v>-151920.66461414096</v>
      </c>
    </row>
    <row r="57" spans="2:8" x14ac:dyDescent="0.2">
      <c r="B57" s="91"/>
      <c r="C57" s="56">
        <f t="shared" si="2"/>
        <v>49</v>
      </c>
      <c r="D57" s="57">
        <v>0</v>
      </c>
      <c r="E57" s="40">
        <f t="shared" si="3"/>
        <v>29607.033693713438</v>
      </c>
      <c r="F57" s="85">
        <f t="shared" si="4"/>
        <v>740175.84234283597</v>
      </c>
      <c r="G57" s="84">
        <f t="shared" si="5"/>
        <v>66877.873557128929</v>
      </c>
      <c r="H57" s="86">
        <f t="shared" si="6"/>
        <v>-227550.47969812067</v>
      </c>
    </row>
    <row r="60" spans="2:8" x14ac:dyDescent="0.2">
      <c r="B60" t="s">
        <v>77</v>
      </c>
    </row>
  </sheetData>
  <mergeCells count="26">
    <mergeCell ref="B4:B19"/>
    <mergeCell ref="E4:H4"/>
    <mergeCell ref="E5:H5"/>
    <mergeCell ref="E6:H6"/>
    <mergeCell ref="E7:H7"/>
    <mergeCell ref="E8:H8"/>
    <mergeCell ref="E14:H14"/>
    <mergeCell ref="E10:H10"/>
    <mergeCell ref="E11:H11"/>
    <mergeCell ref="E12:H12"/>
    <mergeCell ref="E13:H13"/>
    <mergeCell ref="E15:H15"/>
    <mergeCell ref="E16:H16"/>
    <mergeCell ref="E17:H17"/>
    <mergeCell ref="E18:H18"/>
    <mergeCell ref="E19:H19"/>
    <mergeCell ref="C2:C3"/>
    <mergeCell ref="D2:D3"/>
    <mergeCell ref="E2:H2"/>
    <mergeCell ref="E3:H3"/>
    <mergeCell ref="E9:H9"/>
    <mergeCell ref="B20:B57"/>
    <mergeCell ref="E20:F20"/>
    <mergeCell ref="G20:H20"/>
    <mergeCell ref="F22:F23"/>
    <mergeCell ref="H22:H23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540B-1E7C-3547-8DD8-B9D14D26DAB3}">
  <dimension ref="B2:H60"/>
  <sheetViews>
    <sheetView showGridLines="0" topLeftCell="A13" zoomScale="200" zoomScaleNormal="120" workbookViewId="0">
      <selection activeCell="I18" sqref="I18"/>
    </sheetView>
  </sheetViews>
  <sheetFormatPr baseColWidth="10" defaultColWidth="10.6640625" defaultRowHeight="15" x14ac:dyDescent="0.2"/>
  <cols>
    <col min="4" max="4" width="13.83203125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4.1640625" bestFit="1" customWidth="1"/>
  </cols>
  <sheetData>
    <row r="2" spans="2:8" x14ac:dyDescent="0.2">
      <c r="B2" s="76"/>
      <c r="C2" s="99" t="s">
        <v>48</v>
      </c>
      <c r="D2" s="101" t="s">
        <v>49</v>
      </c>
      <c r="E2" s="103" t="s">
        <v>50</v>
      </c>
      <c r="F2" s="104"/>
      <c r="G2" s="104"/>
      <c r="H2" s="105"/>
    </row>
    <row r="3" spans="2:8" x14ac:dyDescent="0.2">
      <c r="B3" s="77"/>
      <c r="C3" s="100"/>
      <c r="D3" s="102"/>
      <c r="E3" s="106">
        <v>0.06</v>
      </c>
      <c r="F3" s="107"/>
      <c r="G3" s="107"/>
      <c r="H3" s="108"/>
    </row>
    <row r="4" spans="2:8" ht="15" customHeight="1" x14ac:dyDescent="0.2">
      <c r="B4" s="112" t="s">
        <v>44</v>
      </c>
      <c r="C4" s="51">
        <v>0</v>
      </c>
      <c r="D4" s="52">
        <v>30000</v>
      </c>
      <c r="E4" s="109">
        <f>D4</f>
        <v>30000</v>
      </c>
      <c r="F4" s="110"/>
      <c r="G4" s="110"/>
      <c r="H4" s="111"/>
    </row>
    <row r="5" spans="2:8" x14ac:dyDescent="0.2">
      <c r="B5" s="112"/>
      <c r="C5" s="51">
        <v>1</v>
      </c>
      <c r="D5" s="52">
        <f>D4</f>
        <v>30000</v>
      </c>
      <c r="E5" s="109">
        <f>E4*(1+$E$3)+D5</f>
        <v>61800</v>
      </c>
      <c r="F5" s="110"/>
      <c r="G5" s="110"/>
      <c r="H5" s="111"/>
    </row>
    <row r="6" spans="2:8" x14ac:dyDescent="0.2">
      <c r="B6" s="112"/>
      <c r="C6" s="51">
        <v>2</v>
      </c>
      <c r="D6" s="52">
        <f t="shared" ref="D6:D13" si="0">D5</f>
        <v>30000</v>
      </c>
      <c r="E6" s="109">
        <f t="shared" ref="E6:E19" si="1">E5*(1+$E$3)+D6</f>
        <v>95508</v>
      </c>
      <c r="F6" s="110"/>
      <c r="G6" s="110"/>
      <c r="H6" s="111"/>
    </row>
    <row r="7" spans="2:8" x14ac:dyDescent="0.2">
      <c r="B7" s="112"/>
      <c r="C7" s="51">
        <v>3</v>
      </c>
      <c r="D7" s="52">
        <f t="shared" si="0"/>
        <v>30000</v>
      </c>
      <c r="E7" s="109">
        <f t="shared" si="1"/>
        <v>131238.48000000001</v>
      </c>
      <c r="F7" s="110"/>
      <c r="G7" s="110"/>
      <c r="H7" s="111"/>
    </row>
    <row r="8" spans="2:8" x14ac:dyDescent="0.2">
      <c r="B8" s="112"/>
      <c r="C8" s="51">
        <v>4</v>
      </c>
      <c r="D8" s="52">
        <f t="shared" si="0"/>
        <v>30000</v>
      </c>
      <c r="E8" s="109">
        <f t="shared" si="1"/>
        <v>169112.78880000001</v>
      </c>
      <c r="F8" s="110"/>
      <c r="G8" s="110"/>
      <c r="H8" s="111"/>
    </row>
    <row r="9" spans="2:8" x14ac:dyDescent="0.2">
      <c r="B9" s="112"/>
      <c r="C9" s="51">
        <v>5</v>
      </c>
      <c r="D9" s="52">
        <f t="shared" si="0"/>
        <v>30000</v>
      </c>
      <c r="E9" s="109">
        <f t="shared" si="1"/>
        <v>209259.55612800003</v>
      </c>
      <c r="F9" s="110"/>
      <c r="G9" s="110"/>
      <c r="H9" s="111"/>
    </row>
    <row r="10" spans="2:8" x14ac:dyDescent="0.2">
      <c r="B10" s="112"/>
      <c r="C10" s="51">
        <v>6</v>
      </c>
      <c r="D10" s="52">
        <f t="shared" si="0"/>
        <v>30000</v>
      </c>
      <c r="E10" s="109">
        <f t="shared" si="1"/>
        <v>251815.12949568004</v>
      </c>
      <c r="F10" s="110"/>
      <c r="G10" s="110"/>
      <c r="H10" s="111"/>
    </row>
    <row r="11" spans="2:8" x14ac:dyDescent="0.2">
      <c r="B11" s="112"/>
      <c r="C11" s="51">
        <v>7</v>
      </c>
      <c r="D11" s="52">
        <f t="shared" si="0"/>
        <v>30000</v>
      </c>
      <c r="E11" s="109">
        <f t="shared" si="1"/>
        <v>296924.03726542083</v>
      </c>
      <c r="F11" s="110"/>
      <c r="G11" s="110"/>
      <c r="H11" s="111"/>
    </row>
    <row r="12" spans="2:8" x14ac:dyDescent="0.2">
      <c r="B12" s="112"/>
      <c r="C12" s="51">
        <v>8</v>
      </c>
      <c r="D12" s="52">
        <f t="shared" si="0"/>
        <v>30000</v>
      </c>
      <c r="E12" s="109">
        <f t="shared" si="1"/>
        <v>344739.47950134613</v>
      </c>
      <c r="F12" s="110"/>
      <c r="G12" s="110"/>
      <c r="H12" s="111"/>
    </row>
    <row r="13" spans="2:8" x14ac:dyDescent="0.2">
      <c r="B13" s="112"/>
      <c r="C13" s="51">
        <v>9</v>
      </c>
      <c r="D13" s="52">
        <f t="shared" si="0"/>
        <v>30000</v>
      </c>
      <c r="E13" s="109">
        <f t="shared" si="1"/>
        <v>395423.84827142692</v>
      </c>
      <c r="F13" s="110"/>
      <c r="G13" s="110"/>
      <c r="H13" s="111"/>
    </row>
    <row r="14" spans="2:8" x14ac:dyDescent="0.2">
      <c r="B14" s="112"/>
      <c r="C14" s="51">
        <v>10</v>
      </c>
      <c r="D14" s="53">
        <v>0</v>
      </c>
      <c r="E14" s="109">
        <f t="shared" si="1"/>
        <v>419149.27916771255</v>
      </c>
      <c r="F14" s="110"/>
      <c r="G14" s="110"/>
      <c r="H14" s="111"/>
    </row>
    <row r="15" spans="2:8" x14ac:dyDescent="0.2">
      <c r="B15" s="112"/>
      <c r="C15" s="51">
        <f>C14+1</f>
        <v>11</v>
      </c>
      <c r="D15" s="53">
        <v>0</v>
      </c>
      <c r="E15" s="109">
        <f t="shared" si="1"/>
        <v>444298.23591777531</v>
      </c>
      <c r="F15" s="110"/>
      <c r="G15" s="110"/>
      <c r="H15" s="111"/>
    </row>
    <row r="16" spans="2:8" x14ac:dyDescent="0.2">
      <c r="B16" s="112"/>
      <c r="C16" s="51">
        <f t="shared" ref="C16:C57" si="2">C15+1</f>
        <v>12</v>
      </c>
      <c r="D16" s="53">
        <v>0</v>
      </c>
      <c r="E16" s="109">
        <f t="shared" si="1"/>
        <v>470956.13007284183</v>
      </c>
      <c r="F16" s="110"/>
      <c r="G16" s="110"/>
      <c r="H16" s="111"/>
    </row>
    <row r="17" spans="2:8" x14ac:dyDescent="0.2">
      <c r="B17" s="112"/>
      <c r="C17" s="51">
        <f t="shared" si="2"/>
        <v>13</v>
      </c>
      <c r="D17" s="53">
        <v>0</v>
      </c>
      <c r="E17" s="109">
        <f t="shared" si="1"/>
        <v>499213.49787721236</v>
      </c>
      <c r="F17" s="110"/>
      <c r="G17" s="110"/>
      <c r="H17" s="111"/>
    </row>
    <row r="18" spans="2:8" x14ac:dyDescent="0.2">
      <c r="B18" s="112"/>
      <c r="C18" s="51">
        <f t="shared" si="2"/>
        <v>14</v>
      </c>
      <c r="D18" s="53">
        <v>0</v>
      </c>
      <c r="E18" s="109">
        <f t="shared" si="1"/>
        <v>529166.30774984509</v>
      </c>
      <c r="F18" s="110"/>
      <c r="G18" s="110"/>
      <c r="H18" s="111"/>
    </row>
    <row r="19" spans="2:8" x14ac:dyDescent="0.2">
      <c r="B19" s="112"/>
      <c r="C19" s="51">
        <f t="shared" si="2"/>
        <v>15</v>
      </c>
      <c r="D19" s="53">
        <v>0</v>
      </c>
      <c r="E19" s="109">
        <f t="shared" si="1"/>
        <v>560916.28621483583</v>
      </c>
      <c r="F19" s="110"/>
      <c r="G19" s="110"/>
      <c r="H19" s="111"/>
    </row>
    <row r="20" spans="2:8" ht="26" customHeight="1" x14ac:dyDescent="0.2">
      <c r="B20" s="91" t="s">
        <v>45</v>
      </c>
      <c r="C20" s="54"/>
      <c r="D20" s="55"/>
      <c r="E20" s="92" t="s">
        <v>80</v>
      </c>
      <c r="F20" s="93"/>
      <c r="G20" s="94" t="s">
        <v>79</v>
      </c>
      <c r="H20" s="95"/>
    </row>
    <row r="21" spans="2:8" ht="26" customHeight="1" x14ac:dyDescent="0.2">
      <c r="B21" s="91"/>
      <c r="C21" s="54"/>
      <c r="D21" s="55"/>
      <c r="E21" s="80" t="s">
        <v>83</v>
      </c>
      <c r="F21" s="81">
        <f>2.5%</f>
        <v>2.5000000000000001E-2</v>
      </c>
      <c r="G21" s="79" t="s">
        <v>81</v>
      </c>
      <c r="H21" s="87">
        <v>0.04</v>
      </c>
    </row>
    <row r="22" spans="2:8" ht="16" x14ac:dyDescent="0.2">
      <c r="B22" s="91"/>
      <c r="C22" s="54"/>
      <c r="D22" s="55"/>
      <c r="E22" s="47" t="s">
        <v>52</v>
      </c>
      <c r="F22" s="96" t="s">
        <v>51</v>
      </c>
      <c r="G22" s="48" t="s">
        <v>82</v>
      </c>
      <c r="H22" s="97" t="s">
        <v>51</v>
      </c>
    </row>
    <row r="23" spans="2:8" ht="23" customHeight="1" x14ac:dyDescent="0.2">
      <c r="B23" s="91"/>
      <c r="C23" s="54"/>
      <c r="D23" s="55"/>
      <c r="E23" s="49">
        <v>0.04</v>
      </c>
      <c r="F23" s="96"/>
      <c r="G23" s="83">
        <v>0.04</v>
      </c>
      <c r="H23" s="98"/>
    </row>
    <row r="24" spans="2:8" x14ac:dyDescent="0.2">
      <c r="B24" s="91"/>
      <c r="C24" s="56">
        <f>C19+1</f>
        <v>16</v>
      </c>
      <c r="D24" s="57">
        <v>0</v>
      </c>
      <c r="E24" s="36">
        <f t="shared" ref="E24:E53" si="3">$E$19*$E$23</f>
        <v>22436.651448593435</v>
      </c>
      <c r="F24" s="37">
        <f>$E$19</f>
        <v>560916.28621483583</v>
      </c>
      <c r="G24" s="38">
        <f>E19*$H$21</f>
        <v>22436.651448593435</v>
      </c>
      <c r="H24" s="39">
        <f>(E19-G24)*(1+$G$23)</f>
        <v>560018.82015689206</v>
      </c>
    </row>
    <row r="25" spans="2:8" x14ac:dyDescent="0.2">
      <c r="B25" s="91"/>
      <c r="C25" s="56">
        <f t="shared" si="2"/>
        <v>17</v>
      </c>
      <c r="D25" s="57">
        <v>0</v>
      </c>
      <c r="E25" s="40">
        <f t="shared" si="3"/>
        <v>22436.651448593435</v>
      </c>
      <c r="F25" s="41">
        <f t="shared" ref="F25:F57" si="4">$E$19</f>
        <v>560916.28621483583</v>
      </c>
      <c r="G25" s="42">
        <f>G24*(1+$F$21)</f>
        <v>22997.567734808268</v>
      </c>
      <c r="H25" s="39">
        <f>(H24-G25)*(1+$G$23)</f>
        <v>558502.10251896712</v>
      </c>
    </row>
    <row r="26" spans="2:8" x14ac:dyDescent="0.2">
      <c r="B26" s="91"/>
      <c r="C26" s="56">
        <f t="shared" si="2"/>
        <v>18</v>
      </c>
      <c r="D26" s="57">
        <v>0</v>
      </c>
      <c r="E26" s="40">
        <f t="shared" si="3"/>
        <v>22436.651448593435</v>
      </c>
      <c r="F26" s="41">
        <f t="shared" si="4"/>
        <v>560916.28621483583</v>
      </c>
      <c r="G26" s="42">
        <f t="shared" ref="G26:G57" si="5">G25*(1+$F$21)</f>
        <v>23572.506928178474</v>
      </c>
      <c r="H26" s="39">
        <f t="shared" ref="H26:H57" si="6">(H25-G26)*(1+$G$23)</f>
        <v>556326.77941442025</v>
      </c>
    </row>
    <row r="27" spans="2:8" ht="15" customHeight="1" x14ac:dyDescent="0.2">
      <c r="B27" s="91"/>
      <c r="C27" s="56">
        <f>C26+1</f>
        <v>19</v>
      </c>
      <c r="D27" s="57">
        <v>0</v>
      </c>
      <c r="E27" s="40">
        <f t="shared" si="3"/>
        <v>22436.651448593435</v>
      </c>
      <c r="F27" s="41">
        <f t="shared" si="4"/>
        <v>560916.28621483583</v>
      </c>
      <c r="G27" s="42">
        <f t="shared" si="5"/>
        <v>24161.819601382933</v>
      </c>
      <c r="H27" s="39">
        <f t="shared" si="6"/>
        <v>553451.5582055588</v>
      </c>
    </row>
    <row r="28" spans="2:8" x14ac:dyDescent="0.2">
      <c r="B28" s="91"/>
      <c r="C28" s="56">
        <f t="shared" si="2"/>
        <v>20</v>
      </c>
      <c r="D28" s="57">
        <v>0</v>
      </c>
      <c r="E28" s="40">
        <f t="shared" si="3"/>
        <v>22436.651448593435</v>
      </c>
      <c r="F28" s="41">
        <f t="shared" si="4"/>
        <v>560916.28621483583</v>
      </c>
      <c r="G28" s="42">
        <f t="shared" si="5"/>
        <v>24765.865091417505</v>
      </c>
      <c r="H28" s="39">
        <f t="shared" si="6"/>
        <v>549833.12083870708</v>
      </c>
    </row>
    <row r="29" spans="2:8" x14ac:dyDescent="0.2">
      <c r="B29" s="91"/>
      <c r="C29" s="56">
        <f t="shared" si="2"/>
        <v>21</v>
      </c>
      <c r="D29" s="57">
        <v>0</v>
      </c>
      <c r="E29" s="40">
        <f t="shared" si="3"/>
        <v>22436.651448593435</v>
      </c>
      <c r="F29" s="41">
        <f t="shared" si="4"/>
        <v>560916.28621483583</v>
      </c>
      <c r="G29" s="42">
        <f t="shared" si="5"/>
        <v>25385.011718702939</v>
      </c>
      <c r="H29" s="39">
        <f t="shared" si="6"/>
        <v>545426.03348480433</v>
      </c>
    </row>
    <row r="30" spans="2:8" x14ac:dyDescent="0.2">
      <c r="B30" s="91"/>
      <c r="C30" s="56">
        <f t="shared" si="2"/>
        <v>22</v>
      </c>
      <c r="D30" s="57">
        <v>0</v>
      </c>
      <c r="E30" s="40">
        <f t="shared" si="3"/>
        <v>22436.651448593435</v>
      </c>
      <c r="F30" s="41">
        <f t="shared" si="4"/>
        <v>560916.28621483583</v>
      </c>
      <c r="G30" s="42">
        <f t="shared" si="5"/>
        <v>26019.637011670511</v>
      </c>
      <c r="H30" s="39">
        <f t="shared" si="6"/>
        <v>540182.65233205922</v>
      </c>
    </row>
    <row r="31" spans="2:8" x14ac:dyDescent="0.2">
      <c r="B31" s="91"/>
      <c r="C31" s="56">
        <f t="shared" si="2"/>
        <v>23</v>
      </c>
      <c r="D31" s="57">
        <v>0</v>
      </c>
      <c r="E31" s="40">
        <f t="shared" si="3"/>
        <v>22436.651448593435</v>
      </c>
      <c r="F31" s="41">
        <f t="shared" si="4"/>
        <v>560916.28621483583</v>
      </c>
      <c r="G31" s="42">
        <f t="shared" si="5"/>
        <v>26670.127936962272</v>
      </c>
      <c r="H31" s="39">
        <f t="shared" si="6"/>
        <v>534053.02537090087</v>
      </c>
    </row>
    <row r="32" spans="2:8" x14ac:dyDescent="0.2">
      <c r="B32" s="91"/>
      <c r="C32" s="56">
        <f t="shared" si="2"/>
        <v>24</v>
      </c>
      <c r="D32" s="57">
        <v>0</v>
      </c>
      <c r="E32" s="40">
        <f t="shared" si="3"/>
        <v>22436.651448593435</v>
      </c>
      <c r="F32" s="41">
        <f t="shared" si="4"/>
        <v>560916.28621483583</v>
      </c>
      <c r="G32" s="42">
        <f t="shared" si="5"/>
        <v>27336.881135386328</v>
      </c>
      <c r="H32" s="39">
        <f t="shared" si="6"/>
        <v>526984.79000493512</v>
      </c>
    </row>
    <row r="33" spans="2:8" x14ac:dyDescent="0.2">
      <c r="B33" s="91"/>
      <c r="C33" s="56">
        <f t="shared" si="2"/>
        <v>25</v>
      </c>
      <c r="D33" s="57">
        <v>0</v>
      </c>
      <c r="E33" s="40">
        <f t="shared" si="3"/>
        <v>22436.651448593435</v>
      </c>
      <c r="F33" s="41">
        <f t="shared" si="4"/>
        <v>560916.28621483583</v>
      </c>
      <c r="G33" s="42">
        <f t="shared" si="5"/>
        <v>28020.303163770983</v>
      </c>
      <c r="H33" s="39">
        <f t="shared" si="6"/>
        <v>518923.06631481071</v>
      </c>
    </row>
    <row r="34" spans="2:8" x14ac:dyDescent="0.2">
      <c r="B34" s="91"/>
      <c r="C34" s="56">
        <f t="shared" si="2"/>
        <v>26</v>
      </c>
      <c r="D34" s="57">
        <v>0</v>
      </c>
      <c r="E34" s="40">
        <f t="shared" si="3"/>
        <v>22436.651448593435</v>
      </c>
      <c r="F34" s="41">
        <f t="shared" si="4"/>
        <v>560916.28621483583</v>
      </c>
      <c r="G34" s="42">
        <f t="shared" si="5"/>
        <v>28720.810742865255</v>
      </c>
      <c r="H34" s="39">
        <f t="shared" si="6"/>
        <v>509810.34579482331</v>
      </c>
    </row>
    <row r="35" spans="2:8" x14ac:dyDescent="0.2">
      <c r="B35" s="91"/>
      <c r="C35" s="56">
        <f t="shared" si="2"/>
        <v>27</v>
      </c>
      <c r="D35" s="57">
        <v>0</v>
      </c>
      <c r="E35" s="40">
        <f t="shared" si="3"/>
        <v>22436.651448593435</v>
      </c>
      <c r="F35" s="41">
        <f t="shared" si="4"/>
        <v>560916.28621483583</v>
      </c>
      <c r="G35" s="42">
        <f t="shared" si="5"/>
        <v>29438.831011436883</v>
      </c>
      <c r="H35" s="39">
        <f t="shared" si="6"/>
        <v>499586.37537472189</v>
      </c>
    </row>
    <row r="36" spans="2:8" x14ac:dyDescent="0.2">
      <c r="B36" s="91"/>
      <c r="C36" s="56">
        <f t="shared" si="2"/>
        <v>28</v>
      </c>
      <c r="D36" s="57">
        <v>0</v>
      </c>
      <c r="E36" s="40">
        <f t="shared" si="3"/>
        <v>22436.651448593435</v>
      </c>
      <c r="F36" s="41">
        <f t="shared" si="4"/>
        <v>560916.28621483583</v>
      </c>
      <c r="G36" s="42">
        <f t="shared" si="5"/>
        <v>30174.801786722805</v>
      </c>
      <c r="H36" s="39">
        <f t="shared" si="6"/>
        <v>488188.03653151909</v>
      </c>
    </row>
    <row r="37" spans="2:8" x14ac:dyDescent="0.2">
      <c r="B37" s="91"/>
      <c r="C37" s="56">
        <f>C36+1</f>
        <v>29</v>
      </c>
      <c r="D37" s="57">
        <v>0</v>
      </c>
      <c r="E37" s="40">
        <f t="shared" si="3"/>
        <v>22436.651448593435</v>
      </c>
      <c r="F37" s="41">
        <f t="shared" si="4"/>
        <v>560916.28621483583</v>
      </c>
      <c r="G37" s="42">
        <f t="shared" si="5"/>
        <v>30929.171831390871</v>
      </c>
      <c r="H37" s="39">
        <f t="shared" si="6"/>
        <v>475549.21928813338</v>
      </c>
    </row>
    <row r="38" spans="2:8" x14ac:dyDescent="0.2">
      <c r="B38" s="91"/>
      <c r="C38" s="56">
        <f t="shared" si="2"/>
        <v>30</v>
      </c>
      <c r="D38" s="57">
        <v>0</v>
      </c>
      <c r="E38" s="40">
        <f t="shared" si="3"/>
        <v>22436.651448593435</v>
      </c>
      <c r="F38" s="41">
        <f t="shared" si="4"/>
        <v>560916.28621483583</v>
      </c>
      <c r="G38" s="42">
        <f t="shared" si="5"/>
        <v>31702.401127175639</v>
      </c>
      <c r="H38" s="39">
        <f t="shared" si="6"/>
        <v>461600.69088739605</v>
      </c>
    </row>
    <row r="39" spans="2:8" x14ac:dyDescent="0.2">
      <c r="B39" s="91"/>
      <c r="C39" s="56">
        <f t="shared" si="2"/>
        <v>31</v>
      </c>
      <c r="D39" s="57">
        <v>0</v>
      </c>
      <c r="E39" s="40">
        <f t="shared" si="3"/>
        <v>22436.651448593435</v>
      </c>
      <c r="F39" s="41">
        <f t="shared" si="4"/>
        <v>560916.28621483583</v>
      </c>
      <c r="G39" s="42">
        <f t="shared" si="5"/>
        <v>32494.961155355028</v>
      </c>
      <c r="H39" s="39">
        <f t="shared" si="6"/>
        <v>446269.95892132266</v>
      </c>
    </row>
    <row r="40" spans="2:8" x14ac:dyDescent="0.2">
      <c r="B40" s="91"/>
      <c r="C40" s="56">
        <f t="shared" si="2"/>
        <v>32</v>
      </c>
      <c r="D40" s="57">
        <v>0</v>
      </c>
      <c r="E40" s="40">
        <f t="shared" si="3"/>
        <v>22436.651448593435</v>
      </c>
      <c r="F40" s="41">
        <f t="shared" si="4"/>
        <v>560916.28621483583</v>
      </c>
      <c r="G40" s="42">
        <f t="shared" si="5"/>
        <v>33307.335184238902</v>
      </c>
      <c r="H40" s="39">
        <f t="shared" si="6"/>
        <v>429481.12868656713</v>
      </c>
    </row>
    <row r="41" spans="2:8" x14ac:dyDescent="0.2">
      <c r="B41" s="91"/>
      <c r="C41" s="56">
        <f t="shared" si="2"/>
        <v>33</v>
      </c>
      <c r="D41" s="57">
        <v>0</v>
      </c>
      <c r="E41" s="40">
        <f t="shared" si="3"/>
        <v>22436.651448593435</v>
      </c>
      <c r="F41" s="41">
        <f t="shared" si="4"/>
        <v>560916.28621483583</v>
      </c>
      <c r="G41" s="42">
        <f t="shared" si="5"/>
        <v>34140.018563844875</v>
      </c>
      <c r="H41" s="39">
        <f t="shared" si="6"/>
        <v>411154.7545276311</v>
      </c>
    </row>
    <row r="42" spans="2:8" x14ac:dyDescent="0.2">
      <c r="B42" s="91"/>
      <c r="C42" s="56">
        <f t="shared" si="2"/>
        <v>34</v>
      </c>
      <c r="D42" s="57">
        <v>0</v>
      </c>
      <c r="E42" s="40">
        <f t="shared" si="3"/>
        <v>22436.651448593435</v>
      </c>
      <c r="F42" s="41">
        <f t="shared" si="4"/>
        <v>560916.28621483583</v>
      </c>
      <c r="G42" s="42">
        <f t="shared" si="5"/>
        <v>34993.519027940994</v>
      </c>
      <c r="H42" s="39">
        <f t="shared" si="6"/>
        <v>391207.68491967773</v>
      </c>
    </row>
    <row r="43" spans="2:8" x14ac:dyDescent="0.2">
      <c r="B43" s="91"/>
      <c r="C43" s="56">
        <f t="shared" si="2"/>
        <v>35</v>
      </c>
      <c r="D43" s="57">
        <v>0</v>
      </c>
      <c r="E43" s="40">
        <f t="shared" si="3"/>
        <v>22436.651448593435</v>
      </c>
      <c r="F43" s="41">
        <f t="shared" si="4"/>
        <v>560916.28621483583</v>
      </c>
      <c r="G43" s="42">
        <f t="shared" si="5"/>
        <v>35868.357003639518</v>
      </c>
      <c r="H43" s="39">
        <f t="shared" si="6"/>
        <v>369552.90103267977</v>
      </c>
    </row>
    <row r="44" spans="2:8" x14ac:dyDescent="0.2">
      <c r="B44" s="91"/>
      <c r="C44" s="56">
        <f t="shared" si="2"/>
        <v>36</v>
      </c>
      <c r="D44" s="57">
        <v>0</v>
      </c>
      <c r="E44" s="40">
        <f t="shared" si="3"/>
        <v>22436.651448593435</v>
      </c>
      <c r="F44" s="41">
        <f t="shared" si="4"/>
        <v>560916.28621483583</v>
      </c>
      <c r="G44" s="42">
        <f t="shared" si="5"/>
        <v>36765.065928730502</v>
      </c>
      <c r="H44" s="39">
        <f t="shared" si="6"/>
        <v>346099.3485081073</v>
      </c>
    </row>
    <row r="45" spans="2:8" x14ac:dyDescent="0.2">
      <c r="B45" s="91"/>
      <c r="C45" s="56">
        <f t="shared" si="2"/>
        <v>37</v>
      </c>
      <c r="D45" s="57">
        <v>0</v>
      </c>
      <c r="E45" s="40">
        <f t="shared" si="3"/>
        <v>22436.651448593435</v>
      </c>
      <c r="F45" s="41">
        <f t="shared" si="4"/>
        <v>560916.28621483583</v>
      </c>
      <c r="G45" s="42">
        <f t="shared" si="5"/>
        <v>37684.192576948764</v>
      </c>
      <c r="H45" s="39">
        <f t="shared" si="6"/>
        <v>320751.76216840488</v>
      </c>
    </row>
    <row r="46" spans="2:8" x14ac:dyDescent="0.2">
      <c r="B46" s="91"/>
      <c r="C46" s="56">
        <f t="shared" si="2"/>
        <v>38</v>
      </c>
      <c r="D46" s="57">
        <v>0</v>
      </c>
      <c r="E46" s="40">
        <f t="shared" si="3"/>
        <v>22436.651448593435</v>
      </c>
      <c r="F46" s="41">
        <f t="shared" si="4"/>
        <v>560916.28621483583</v>
      </c>
      <c r="G46" s="42">
        <f t="shared" si="5"/>
        <v>38626.297391372478</v>
      </c>
      <c r="H46" s="39">
        <f t="shared" si="6"/>
        <v>293410.4833681137</v>
      </c>
    </row>
    <row r="47" spans="2:8" x14ac:dyDescent="0.2">
      <c r="B47" s="91"/>
      <c r="C47" s="56">
        <f t="shared" si="2"/>
        <v>39</v>
      </c>
      <c r="D47" s="57">
        <v>0</v>
      </c>
      <c r="E47" s="40">
        <f t="shared" si="3"/>
        <v>22436.651448593435</v>
      </c>
      <c r="F47" s="41">
        <f t="shared" si="4"/>
        <v>560916.28621483583</v>
      </c>
      <c r="G47" s="42">
        <f t="shared" si="5"/>
        <v>39591.954826156783</v>
      </c>
      <c r="H47" s="39">
        <f t="shared" si="6"/>
        <v>263971.26968363521</v>
      </c>
    </row>
    <row r="48" spans="2:8" x14ac:dyDescent="0.2">
      <c r="B48" s="91"/>
      <c r="C48" s="56">
        <f t="shared" si="2"/>
        <v>40</v>
      </c>
      <c r="D48" s="57">
        <v>0</v>
      </c>
      <c r="E48" s="40">
        <f t="shared" si="3"/>
        <v>22436.651448593435</v>
      </c>
      <c r="F48" s="41">
        <f t="shared" si="4"/>
        <v>560916.28621483583</v>
      </c>
      <c r="G48" s="42">
        <f t="shared" si="5"/>
        <v>40581.753696810702</v>
      </c>
      <c r="H48" s="39">
        <f t="shared" si="6"/>
        <v>232325.09662629751</v>
      </c>
    </row>
    <row r="49" spans="2:8" x14ac:dyDescent="0.2">
      <c r="B49" s="91"/>
      <c r="C49" s="56">
        <f t="shared" si="2"/>
        <v>41</v>
      </c>
      <c r="D49" s="57">
        <v>0</v>
      </c>
      <c r="E49" s="40">
        <f t="shared" si="3"/>
        <v>22436.651448593435</v>
      </c>
      <c r="F49" s="41">
        <f t="shared" si="4"/>
        <v>560916.28621483583</v>
      </c>
      <c r="G49" s="42">
        <f t="shared" si="5"/>
        <v>41596.297539230967</v>
      </c>
      <c r="H49" s="39">
        <f t="shared" si="6"/>
        <v>198357.95105054922</v>
      </c>
    </row>
    <row r="50" spans="2:8" x14ac:dyDescent="0.2">
      <c r="B50" s="91"/>
      <c r="C50" s="56">
        <f t="shared" si="2"/>
        <v>42</v>
      </c>
      <c r="D50" s="57">
        <v>0</v>
      </c>
      <c r="E50" s="40">
        <f t="shared" si="3"/>
        <v>22436.651448593435</v>
      </c>
      <c r="F50" s="41">
        <f t="shared" si="4"/>
        <v>560916.28621483583</v>
      </c>
      <c r="G50" s="42">
        <f t="shared" si="5"/>
        <v>42636.204977711735</v>
      </c>
      <c r="H50" s="39">
        <f t="shared" si="6"/>
        <v>161950.615915751</v>
      </c>
    </row>
    <row r="51" spans="2:8" x14ac:dyDescent="0.2">
      <c r="B51" s="91"/>
      <c r="C51" s="56">
        <f t="shared" si="2"/>
        <v>43</v>
      </c>
      <c r="D51" s="57">
        <v>0</v>
      </c>
      <c r="E51" s="40">
        <f t="shared" si="3"/>
        <v>22436.651448593435</v>
      </c>
      <c r="F51" s="41">
        <f t="shared" si="4"/>
        <v>560916.28621483583</v>
      </c>
      <c r="G51" s="42">
        <f t="shared" si="5"/>
        <v>43702.110102154526</v>
      </c>
      <c r="H51" s="39">
        <f t="shared" si="6"/>
        <v>122978.44604614034</v>
      </c>
    </row>
    <row r="52" spans="2:8" x14ac:dyDescent="0.2">
      <c r="B52" s="91"/>
      <c r="C52" s="56">
        <f t="shared" si="2"/>
        <v>44</v>
      </c>
      <c r="D52" s="57">
        <v>0</v>
      </c>
      <c r="E52" s="40">
        <f t="shared" si="3"/>
        <v>22436.651448593435</v>
      </c>
      <c r="F52" s="41">
        <f t="shared" si="4"/>
        <v>560916.28621483583</v>
      </c>
      <c r="G52" s="42">
        <f t="shared" si="5"/>
        <v>44794.662854708382</v>
      </c>
      <c r="H52" s="39">
        <f t="shared" si="6"/>
        <v>81311.134519089232</v>
      </c>
    </row>
    <row r="53" spans="2:8" x14ac:dyDescent="0.2">
      <c r="B53" s="91"/>
      <c r="C53" s="56">
        <f t="shared" si="2"/>
        <v>45</v>
      </c>
      <c r="D53" s="57">
        <v>0</v>
      </c>
      <c r="E53" s="40">
        <f t="shared" si="3"/>
        <v>22436.651448593435</v>
      </c>
      <c r="F53" s="85">
        <f t="shared" si="4"/>
        <v>560916.28621483583</v>
      </c>
      <c r="G53" s="84">
        <f t="shared" si="5"/>
        <v>45914.529426076086</v>
      </c>
      <c r="H53" s="82">
        <f t="shared" si="6"/>
        <v>36812.469296733674</v>
      </c>
    </row>
    <row r="54" spans="2:8" ht="15" customHeight="1" x14ac:dyDescent="0.2">
      <c r="B54" s="91"/>
      <c r="C54" s="56">
        <f t="shared" si="2"/>
        <v>46</v>
      </c>
      <c r="D54" s="57">
        <v>0</v>
      </c>
      <c r="E54" s="40">
        <f t="shared" ref="E54:E57" si="7">$E$19*$E$23</f>
        <v>22436.651448593435</v>
      </c>
      <c r="F54" s="85">
        <f t="shared" si="4"/>
        <v>560916.28621483583</v>
      </c>
      <c r="G54" s="84">
        <f t="shared" si="5"/>
        <v>47062.392661727987</v>
      </c>
      <c r="H54" s="82">
        <f t="shared" si="6"/>
        <v>-10659.920299594085</v>
      </c>
    </row>
    <row r="55" spans="2:8" x14ac:dyDescent="0.2">
      <c r="B55" s="91"/>
      <c r="C55" s="56">
        <f t="shared" si="2"/>
        <v>47</v>
      </c>
      <c r="D55" s="57">
        <v>0</v>
      </c>
      <c r="E55" s="40">
        <f t="shared" si="7"/>
        <v>22436.651448593435</v>
      </c>
      <c r="F55" s="85">
        <f t="shared" si="4"/>
        <v>560916.28621483583</v>
      </c>
      <c r="G55" s="84">
        <f t="shared" si="5"/>
        <v>48238.952478271181</v>
      </c>
      <c r="H55" s="82">
        <f t="shared" si="6"/>
        <v>-61254.82768897988</v>
      </c>
    </row>
    <row r="56" spans="2:8" x14ac:dyDescent="0.2">
      <c r="B56" s="91"/>
      <c r="C56" s="56">
        <f t="shared" si="2"/>
        <v>48</v>
      </c>
      <c r="D56" s="57">
        <v>0</v>
      </c>
      <c r="E56" s="40">
        <f t="shared" si="7"/>
        <v>22436.651448593435</v>
      </c>
      <c r="F56" s="85">
        <f t="shared" si="4"/>
        <v>560916.28621483583</v>
      </c>
      <c r="G56" s="84">
        <f t="shared" si="5"/>
        <v>49444.926290227959</v>
      </c>
      <c r="H56" s="82">
        <f t="shared" si="6"/>
        <v>-115127.74413837615</v>
      </c>
    </row>
    <row r="57" spans="2:8" x14ac:dyDescent="0.2">
      <c r="B57" s="91"/>
      <c r="C57" s="56">
        <f t="shared" si="2"/>
        <v>49</v>
      </c>
      <c r="D57" s="57">
        <v>0</v>
      </c>
      <c r="E57" s="40">
        <f t="shared" si="7"/>
        <v>22436.651448593435</v>
      </c>
      <c r="F57" s="85">
        <f t="shared" si="4"/>
        <v>560916.28621483583</v>
      </c>
      <c r="G57" s="84">
        <f t="shared" si="5"/>
        <v>50681.049447483652</v>
      </c>
      <c r="H57" s="86">
        <f t="shared" si="6"/>
        <v>-172441.1453292942</v>
      </c>
    </row>
    <row r="60" spans="2:8" x14ac:dyDescent="0.2">
      <c r="B60" t="s">
        <v>77</v>
      </c>
    </row>
  </sheetData>
  <mergeCells count="26">
    <mergeCell ref="B20:B57"/>
    <mergeCell ref="E15:H15"/>
    <mergeCell ref="E16:H16"/>
    <mergeCell ref="E17:H17"/>
    <mergeCell ref="E18:H18"/>
    <mergeCell ref="E19:H19"/>
    <mergeCell ref="E20:F20"/>
    <mergeCell ref="G20:H20"/>
    <mergeCell ref="F22:F23"/>
    <mergeCell ref="H22:H23"/>
    <mergeCell ref="B4:B19"/>
    <mergeCell ref="E14:H14"/>
    <mergeCell ref="E5:H5"/>
    <mergeCell ref="E6:H6"/>
    <mergeCell ref="E7:H7"/>
    <mergeCell ref="E8:H8"/>
    <mergeCell ref="C2:C3"/>
    <mergeCell ref="D2:D3"/>
    <mergeCell ref="E2:H2"/>
    <mergeCell ref="E3:H3"/>
    <mergeCell ref="E4:H4"/>
    <mergeCell ref="E9:H9"/>
    <mergeCell ref="E10:H10"/>
    <mergeCell ref="E11:H11"/>
    <mergeCell ref="E12:H12"/>
    <mergeCell ref="E13:H1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1A7D-778A-2E40-A0F6-5CD2BC5CBC1E}">
  <dimension ref="B1:G17"/>
  <sheetViews>
    <sheetView zoomScale="264" zoomScaleNormal="150" workbookViewId="0">
      <selection activeCell="D14" sqref="D14"/>
    </sheetView>
  </sheetViews>
  <sheetFormatPr baseColWidth="10" defaultColWidth="8.83203125" defaultRowHeight="15" x14ac:dyDescent="0.2"/>
  <cols>
    <col min="3" max="3" width="12.83203125" customWidth="1"/>
    <col min="4" max="4" width="12" customWidth="1"/>
    <col min="5" max="5" width="13.83203125" customWidth="1"/>
    <col min="6" max="6" width="19.6640625" customWidth="1"/>
    <col min="7" max="7" width="13.6640625" customWidth="1"/>
  </cols>
  <sheetData>
    <row r="1" spans="2:7" x14ac:dyDescent="0.2">
      <c r="B1" s="75"/>
      <c r="C1" s="135" t="s">
        <v>78</v>
      </c>
      <c r="D1" s="135"/>
      <c r="E1" s="135"/>
      <c r="F1" s="135"/>
    </row>
    <row r="2" spans="2:7" x14ac:dyDescent="0.2">
      <c r="B2" s="75"/>
      <c r="C2" s="135"/>
      <c r="D2" s="135"/>
      <c r="E2" s="135"/>
      <c r="F2" s="135"/>
    </row>
    <row r="4" spans="2:7" ht="32" x14ac:dyDescent="0.2">
      <c r="B4" s="73" t="s">
        <v>67</v>
      </c>
      <c r="C4" s="63" t="s">
        <v>71</v>
      </c>
      <c r="D4" s="63" t="s">
        <v>68</v>
      </c>
      <c r="E4" s="63" t="s">
        <v>70</v>
      </c>
      <c r="F4" s="63" t="s">
        <v>69</v>
      </c>
      <c r="G4" s="63" t="s">
        <v>72</v>
      </c>
    </row>
    <row r="5" spans="2:7" x14ac:dyDescent="0.2">
      <c r="B5" s="29">
        <v>1</v>
      </c>
      <c r="C5" s="72">
        <f>120000</f>
        <v>120000</v>
      </c>
      <c r="D5">
        <f>-C5*3%</f>
        <v>-3600</v>
      </c>
      <c r="E5" s="74">
        <v>0.06</v>
      </c>
      <c r="F5" s="72">
        <f>(C5+D5)*E5</f>
        <v>6984</v>
      </c>
      <c r="G5" s="72">
        <f>C5+D5+F5</f>
        <v>123384</v>
      </c>
    </row>
    <row r="6" spans="2:7" x14ac:dyDescent="0.2">
      <c r="B6" s="29">
        <v>2</v>
      </c>
      <c r="C6" s="72">
        <f>G5</f>
        <v>123384</v>
      </c>
      <c r="D6">
        <f>0</f>
        <v>0</v>
      </c>
      <c r="E6" s="74">
        <f>E5</f>
        <v>0.06</v>
      </c>
      <c r="F6" s="72">
        <f t="shared" ref="F6:F14" si="0">(C6+D6)*E6</f>
        <v>7403.04</v>
      </c>
      <c r="G6" s="72">
        <f>(G5+D6)*(1+E6)</f>
        <v>130787.04000000001</v>
      </c>
    </row>
    <row r="7" spans="2:7" x14ac:dyDescent="0.2">
      <c r="B7" s="29">
        <v>3</v>
      </c>
      <c r="C7" s="72">
        <f>G6</f>
        <v>130787.04000000001</v>
      </c>
      <c r="D7">
        <f>D6</f>
        <v>0</v>
      </c>
      <c r="E7" s="74">
        <f t="shared" ref="E7:E14" si="1">E6</f>
        <v>0.06</v>
      </c>
      <c r="F7" s="72">
        <f t="shared" si="0"/>
        <v>7847.2224000000006</v>
      </c>
      <c r="G7" s="72">
        <f t="shared" ref="G7:G14" si="2">(G6+D7)*(1+E7)</f>
        <v>138634.26240000001</v>
      </c>
    </row>
    <row r="8" spans="2:7" x14ac:dyDescent="0.2">
      <c r="B8" s="29">
        <v>4</v>
      </c>
      <c r="C8" s="72">
        <f t="shared" ref="C8:C14" si="3">G7</f>
        <v>138634.26240000001</v>
      </c>
      <c r="D8">
        <v>0</v>
      </c>
      <c r="E8" s="74">
        <f t="shared" si="1"/>
        <v>0.06</v>
      </c>
      <c r="F8" s="72">
        <f t="shared" si="0"/>
        <v>8318.0557439999993</v>
      </c>
      <c r="G8" s="72">
        <f t="shared" si="2"/>
        <v>146952.31814400002</v>
      </c>
    </row>
    <row r="9" spans="2:7" x14ac:dyDescent="0.2">
      <c r="B9" s="29">
        <v>5</v>
      </c>
      <c r="C9" s="72">
        <f t="shared" si="3"/>
        <v>146952.31814400002</v>
      </c>
      <c r="D9">
        <f>-30000</f>
        <v>-30000</v>
      </c>
      <c r="E9" s="74">
        <f t="shared" si="1"/>
        <v>0.06</v>
      </c>
      <c r="F9" s="72">
        <f t="shared" si="0"/>
        <v>7017.1390886400013</v>
      </c>
      <c r="G9" s="72">
        <f t="shared" si="2"/>
        <v>123969.45723264002</v>
      </c>
    </row>
    <row r="10" spans="2:7" x14ac:dyDescent="0.2">
      <c r="B10" s="29">
        <v>6</v>
      </c>
      <c r="C10" s="72">
        <f t="shared" si="3"/>
        <v>123969.45723264002</v>
      </c>
      <c r="D10">
        <f t="shared" ref="D10:D13" si="4">D9</f>
        <v>-30000</v>
      </c>
      <c r="E10" s="74">
        <f t="shared" si="1"/>
        <v>0.06</v>
      </c>
      <c r="F10" s="72">
        <f t="shared" si="0"/>
        <v>5638.1674339584015</v>
      </c>
      <c r="G10" s="72">
        <f t="shared" si="2"/>
        <v>99607.624666598436</v>
      </c>
    </row>
    <row r="11" spans="2:7" x14ac:dyDescent="0.2">
      <c r="B11" s="29">
        <v>7</v>
      </c>
      <c r="C11" s="72">
        <f t="shared" si="3"/>
        <v>99607.624666598436</v>
      </c>
      <c r="D11">
        <f t="shared" si="4"/>
        <v>-30000</v>
      </c>
      <c r="E11" s="74">
        <f t="shared" si="1"/>
        <v>0.06</v>
      </c>
      <c r="F11" s="72">
        <f t="shared" si="0"/>
        <v>4176.4574799959064</v>
      </c>
      <c r="G11" s="72">
        <f t="shared" si="2"/>
        <v>73784.082146594345</v>
      </c>
    </row>
    <row r="12" spans="2:7" x14ac:dyDescent="0.2">
      <c r="B12" s="29">
        <v>8</v>
      </c>
      <c r="C12" s="72">
        <f t="shared" si="3"/>
        <v>73784.082146594345</v>
      </c>
      <c r="D12">
        <f t="shared" si="4"/>
        <v>-30000</v>
      </c>
      <c r="E12" s="74">
        <f t="shared" si="1"/>
        <v>0.06</v>
      </c>
      <c r="F12" s="72">
        <f t="shared" si="0"/>
        <v>2627.0449287956608</v>
      </c>
      <c r="G12" s="72">
        <f t="shared" si="2"/>
        <v>46411.12707539001</v>
      </c>
    </row>
    <row r="13" spans="2:7" x14ac:dyDescent="0.2">
      <c r="B13" s="29">
        <v>9</v>
      </c>
      <c r="C13" s="72">
        <f t="shared" si="3"/>
        <v>46411.12707539001</v>
      </c>
      <c r="D13">
        <f t="shared" si="4"/>
        <v>-30000</v>
      </c>
      <c r="E13" s="74">
        <f t="shared" si="1"/>
        <v>0.06</v>
      </c>
      <c r="F13" s="72">
        <f t="shared" si="0"/>
        <v>984.6676245234006</v>
      </c>
      <c r="G13" s="72">
        <f t="shared" si="2"/>
        <v>17395.794699913411</v>
      </c>
    </row>
    <row r="14" spans="2:7" x14ac:dyDescent="0.2">
      <c r="B14" s="29">
        <v>10</v>
      </c>
      <c r="C14" s="72">
        <f t="shared" si="3"/>
        <v>17395.794699913411</v>
      </c>
      <c r="D14">
        <f>D13</f>
        <v>-30000</v>
      </c>
      <c r="E14" s="74">
        <f t="shared" si="1"/>
        <v>0.06</v>
      </c>
      <c r="F14" s="72">
        <f t="shared" si="0"/>
        <v>-756.25231800519532</v>
      </c>
      <c r="G14" s="72">
        <f t="shared" si="2"/>
        <v>-13360.457618091785</v>
      </c>
    </row>
    <row r="17" spans="2:2" x14ac:dyDescent="0.2">
      <c r="B17" t="s">
        <v>77</v>
      </c>
    </row>
  </sheetData>
  <mergeCells count="1">
    <mergeCell ref="C1:F2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FF70-C0E4-462A-BF27-C5472B8F05DB}">
  <dimension ref="B1:G17"/>
  <sheetViews>
    <sheetView zoomScale="264" zoomScaleNormal="150" workbookViewId="0">
      <selection activeCell="F18" sqref="F18"/>
    </sheetView>
  </sheetViews>
  <sheetFormatPr baseColWidth="10" defaultColWidth="8.83203125" defaultRowHeight="15" x14ac:dyDescent="0.2"/>
  <cols>
    <col min="3" max="3" width="12.83203125" customWidth="1"/>
    <col min="4" max="4" width="12" customWidth="1"/>
    <col min="5" max="5" width="13.83203125" customWidth="1"/>
    <col min="6" max="6" width="19.6640625" customWidth="1"/>
    <col min="7" max="7" width="13.6640625" customWidth="1"/>
  </cols>
  <sheetData>
    <row r="1" spans="2:7" x14ac:dyDescent="0.2">
      <c r="B1" s="75"/>
      <c r="C1" s="135" t="s">
        <v>78</v>
      </c>
      <c r="D1" s="135"/>
      <c r="E1" s="135"/>
      <c r="F1" s="135"/>
    </row>
    <row r="2" spans="2:7" x14ac:dyDescent="0.2">
      <c r="B2" s="75"/>
      <c r="C2" s="135"/>
      <c r="D2" s="135"/>
      <c r="E2" s="135"/>
      <c r="F2" s="135"/>
    </row>
    <row r="4" spans="2:7" ht="32" x14ac:dyDescent="0.2">
      <c r="B4" s="73" t="s">
        <v>67</v>
      </c>
      <c r="C4" s="63" t="s">
        <v>71</v>
      </c>
      <c r="D4" s="63" t="s">
        <v>68</v>
      </c>
      <c r="E4" s="63" t="s">
        <v>70</v>
      </c>
      <c r="F4" s="63" t="s">
        <v>69</v>
      </c>
      <c r="G4" s="63" t="s">
        <v>72</v>
      </c>
    </row>
    <row r="5" spans="2:7" x14ac:dyDescent="0.2">
      <c r="B5" s="29">
        <v>1</v>
      </c>
      <c r="C5" s="72">
        <f>200000</f>
        <v>200000</v>
      </c>
      <c r="D5">
        <f>-C5*3%</f>
        <v>-6000</v>
      </c>
      <c r="E5" s="74">
        <v>0.06</v>
      </c>
      <c r="F5" s="72">
        <f>(C5+D5)*E5</f>
        <v>11640</v>
      </c>
      <c r="G5" s="72">
        <f>C5+D5+F5</f>
        <v>205640</v>
      </c>
    </row>
    <row r="6" spans="2:7" x14ac:dyDescent="0.2">
      <c r="B6" s="29">
        <v>2</v>
      </c>
      <c r="C6" s="72">
        <f>G5</f>
        <v>205640</v>
      </c>
      <c r="D6">
        <f>-30000</f>
        <v>-30000</v>
      </c>
      <c r="E6" s="74">
        <f>E5</f>
        <v>0.06</v>
      </c>
      <c r="F6" s="72">
        <f t="shared" ref="F6:F14" si="0">(C6+D6)*E6</f>
        <v>10538.4</v>
      </c>
      <c r="G6" s="72">
        <f>(G5+D6)*(1+E6)</f>
        <v>186178.40000000002</v>
      </c>
    </row>
    <row r="7" spans="2:7" x14ac:dyDescent="0.2">
      <c r="B7" s="29">
        <v>3</v>
      </c>
      <c r="C7" s="72">
        <f>G6</f>
        <v>186178.40000000002</v>
      </c>
      <c r="D7">
        <f>D6</f>
        <v>-30000</v>
      </c>
      <c r="E7" s="74">
        <f t="shared" ref="E7:E14" si="1">E6</f>
        <v>0.06</v>
      </c>
      <c r="F7" s="72">
        <f t="shared" si="0"/>
        <v>9370.7040000000015</v>
      </c>
      <c r="G7" s="72">
        <f t="shared" ref="G7:G14" si="2">(G6+D7)*(1+E7)</f>
        <v>165549.10400000002</v>
      </c>
    </row>
    <row r="8" spans="2:7" x14ac:dyDescent="0.2">
      <c r="B8" s="29">
        <v>4</v>
      </c>
      <c r="C8" s="72">
        <f t="shared" ref="C8:C14" si="3">G7</f>
        <v>165549.10400000002</v>
      </c>
      <c r="D8">
        <f t="shared" ref="D8:D13" si="4">D7</f>
        <v>-30000</v>
      </c>
      <c r="E8" s="74">
        <f t="shared" si="1"/>
        <v>0.06</v>
      </c>
      <c r="F8" s="72">
        <f t="shared" si="0"/>
        <v>8132.9462400000011</v>
      </c>
      <c r="G8" s="72">
        <f t="shared" si="2"/>
        <v>143682.05024000004</v>
      </c>
    </row>
    <row r="9" spans="2:7" x14ac:dyDescent="0.2">
      <c r="B9" s="29">
        <v>5</v>
      </c>
      <c r="C9" s="72">
        <f t="shared" si="3"/>
        <v>143682.05024000004</v>
      </c>
      <c r="D9">
        <f t="shared" si="4"/>
        <v>-30000</v>
      </c>
      <c r="E9" s="74">
        <f t="shared" si="1"/>
        <v>0.06</v>
      </c>
      <c r="F9" s="72">
        <f t="shared" si="0"/>
        <v>6820.9230144000021</v>
      </c>
      <c r="G9" s="72">
        <f t="shared" si="2"/>
        <v>120502.97325440004</v>
      </c>
    </row>
    <row r="10" spans="2:7" x14ac:dyDescent="0.2">
      <c r="B10" s="29">
        <v>6</v>
      </c>
      <c r="C10" s="72">
        <f t="shared" si="3"/>
        <v>120502.97325440004</v>
      </c>
      <c r="D10">
        <f t="shared" si="4"/>
        <v>-30000</v>
      </c>
      <c r="E10" s="74">
        <f t="shared" si="1"/>
        <v>0.06</v>
      </c>
      <c r="F10" s="72">
        <f t="shared" si="0"/>
        <v>5430.1783952640026</v>
      </c>
      <c r="G10" s="72">
        <f t="shared" si="2"/>
        <v>95933.151649664054</v>
      </c>
    </row>
    <row r="11" spans="2:7" x14ac:dyDescent="0.2">
      <c r="B11" s="29">
        <v>7</v>
      </c>
      <c r="C11" s="72">
        <f t="shared" si="3"/>
        <v>95933.151649664054</v>
      </c>
      <c r="D11">
        <f t="shared" si="4"/>
        <v>-30000</v>
      </c>
      <c r="E11" s="74">
        <f t="shared" si="1"/>
        <v>0.06</v>
      </c>
      <c r="F11" s="72">
        <f t="shared" si="0"/>
        <v>3955.9890989798432</v>
      </c>
      <c r="G11" s="72">
        <f t="shared" si="2"/>
        <v>69889.140748643898</v>
      </c>
    </row>
    <row r="12" spans="2:7" x14ac:dyDescent="0.2">
      <c r="B12" s="29">
        <v>8</v>
      </c>
      <c r="C12" s="72">
        <f t="shared" si="3"/>
        <v>69889.140748643898</v>
      </c>
      <c r="D12">
        <f t="shared" si="4"/>
        <v>-30000</v>
      </c>
      <c r="E12" s="74">
        <f t="shared" si="1"/>
        <v>0.06</v>
      </c>
      <c r="F12" s="72">
        <f t="shared" si="0"/>
        <v>2393.348444918634</v>
      </c>
      <c r="G12" s="72">
        <f t="shared" si="2"/>
        <v>42282.489193562535</v>
      </c>
    </row>
    <row r="13" spans="2:7" x14ac:dyDescent="0.2">
      <c r="B13" s="29">
        <v>9</v>
      </c>
      <c r="C13" s="72">
        <f t="shared" si="3"/>
        <v>42282.489193562535</v>
      </c>
      <c r="D13">
        <f t="shared" si="4"/>
        <v>-30000</v>
      </c>
      <c r="E13" s="74">
        <f t="shared" si="1"/>
        <v>0.06</v>
      </c>
      <c r="F13" s="72">
        <f t="shared" si="0"/>
        <v>736.94935161375201</v>
      </c>
      <c r="G13" s="72">
        <f t="shared" si="2"/>
        <v>13019.438545176288</v>
      </c>
    </row>
    <row r="14" spans="2:7" x14ac:dyDescent="0.2">
      <c r="B14" s="29">
        <v>10</v>
      </c>
      <c r="C14" s="72">
        <f t="shared" si="3"/>
        <v>13019.438545176288</v>
      </c>
      <c r="D14">
        <v>0</v>
      </c>
      <c r="E14" s="74">
        <f t="shared" si="1"/>
        <v>0.06</v>
      </c>
      <c r="F14" s="72">
        <f t="shared" si="0"/>
        <v>781.16631271057724</v>
      </c>
      <c r="G14" s="72">
        <f t="shared" si="2"/>
        <v>13800.604857886867</v>
      </c>
    </row>
    <row r="17" spans="2:2" x14ac:dyDescent="0.2">
      <c r="B17" t="s">
        <v>77</v>
      </c>
    </row>
  </sheetData>
  <mergeCells count="1">
    <mergeCell ref="C1:F2"/>
  </mergeCells>
  <phoneticPr fontId="6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D327-F8EB-4C90-85B3-552D459FC94F}">
  <dimension ref="B1:L6"/>
  <sheetViews>
    <sheetView zoomScale="162" zoomScaleNormal="160" workbookViewId="0">
      <selection activeCell="C9" sqref="C9"/>
    </sheetView>
  </sheetViews>
  <sheetFormatPr baseColWidth="10" defaultColWidth="8.83203125" defaultRowHeight="15" x14ac:dyDescent="0.2"/>
  <cols>
    <col min="2" max="2" width="13" customWidth="1"/>
  </cols>
  <sheetData>
    <row r="1" spans="2:12" x14ac:dyDescent="0.2">
      <c r="E1" s="135" t="s">
        <v>73</v>
      </c>
      <c r="F1" s="135"/>
      <c r="G1" s="135"/>
      <c r="H1" s="135"/>
      <c r="I1" s="135"/>
    </row>
    <row r="2" spans="2:12" x14ac:dyDescent="0.2">
      <c r="E2" s="135"/>
      <c r="F2" s="135"/>
      <c r="G2" s="135"/>
      <c r="H2" s="135"/>
      <c r="I2" s="135"/>
    </row>
    <row r="4" spans="2:12" ht="16" x14ac:dyDescent="0.2">
      <c r="B4" s="64" t="s">
        <v>54</v>
      </c>
      <c r="C4" s="65" t="s">
        <v>57</v>
      </c>
      <c r="D4" s="65" t="s">
        <v>58</v>
      </c>
      <c r="E4" s="65" t="s">
        <v>59</v>
      </c>
      <c r="F4" s="65" t="s">
        <v>60</v>
      </c>
      <c r="G4" s="65" t="s">
        <v>61</v>
      </c>
      <c r="H4" s="65" t="s">
        <v>62</v>
      </c>
      <c r="I4" s="65" t="s">
        <v>63</v>
      </c>
      <c r="J4" s="65" t="s">
        <v>64</v>
      </c>
      <c r="K4" s="65" t="s">
        <v>65</v>
      </c>
      <c r="L4" s="66" t="s">
        <v>66</v>
      </c>
    </row>
    <row r="5" spans="2:12" ht="25.5" customHeight="1" x14ac:dyDescent="0.2">
      <c r="B5" s="67" t="s">
        <v>55</v>
      </c>
      <c r="C5" s="23">
        <f>300000-30000*C4</f>
        <v>270000</v>
      </c>
      <c r="D5" s="23">
        <f t="shared" ref="D5:L5" si="0">300000-30000*D4</f>
        <v>240000</v>
      </c>
      <c r="E5" s="23">
        <f t="shared" si="0"/>
        <v>210000</v>
      </c>
      <c r="F5" s="23">
        <f t="shared" si="0"/>
        <v>180000</v>
      </c>
      <c r="G5" s="23">
        <f t="shared" si="0"/>
        <v>150000</v>
      </c>
      <c r="H5" s="23">
        <f t="shared" si="0"/>
        <v>120000</v>
      </c>
      <c r="I5" s="23">
        <f t="shared" si="0"/>
        <v>90000</v>
      </c>
      <c r="J5" s="23">
        <f t="shared" si="0"/>
        <v>60000</v>
      </c>
      <c r="K5" s="23">
        <f t="shared" si="0"/>
        <v>30000</v>
      </c>
      <c r="L5" s="68">
        <f t="shared" si="0"/>
        <v>0</v>
      </c>
    </row>
    <row r="6" spans="2:12" ht="16" x14ac:dyDescent="0.2">
      <c r="B6" s="69" t="s">
        <v>56</v>
      </c>
      <c r="C6" s="70">
        <f>300000-C5</f>
        <v>30000</v>
      </c>
      <c r="D6" s="70">
        <f t="shared" ref="D6:L6" si="1">300000-D5</f>
        <v>60000</v>
      </c>
      <c r="E6" s="70">
        <f t="shared" si="1"/>
        <v>90000</v>
      </c>
      <c r="F6" s="70">
        <f t="shared" si="1"/>
        <v>120000</v>
      </c>
      <c r="G6" s="70">
        <f t="shared" si="1"/>
        <v>150000</v>
      </c>
      <c r="H6" s="70">
        <f t="shared" si="1"/>
        <v>180000</v>
      </c>
      <c r="I6" s="70">
        <f t="shared" si="1"/>
        <v>210000</v>
      </c>
      <c r="J6" s="70">
        <f t="shared" si="1"/>
        <v>240000</v>
      </c>
      <c r="K6" s="70">
        <f t="shared" si="1"/>
        <v>270000</v>
      </c>
      <c r="L6" s="71">
        <f t="shared" si="1"/>
        <v>300000</v>
      </c>
    </row>
  </sheetData>
  <mergeCells count="1">
    <mergeCell ref="E1:I2"/>
  </mergeCells>
  <phoneticPr fontId="6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CCFC-6512-6940-BB62-A744B6A358B0}">
  <dimension ref="A1:H32"/>
  <sheetViews>
    <sheetView showGridLines="0" topLeftCell="A4" zoomScale="170" zoomScaleNormal="147" workbookViewId="0">
      <selection activeCell="D5" sqref="D5"/>
    </sheetView>
  </sheetViews>
  <sheetFormatPr baseColWidth="10" defaultColWidth="10.83203125" defaultRowHeight="15" x14ac:dyDescent="0.2"/>
  <cols>
    <col min="1" max="1" width="11.33203125" customWidth="1"/>
    <col min="2" max="2" width="14.5" customWidth="1"/>
    <col min="3" max="3" width="17.83203125" bestFit="1" customWidth="1"/>
    <col min="4" max="4" width="18.83203125" customWidth="1"/>
    <col min="5" max="5" width="16.5" customWidth="1"/>
    <col min="6" max="6" width="17.1640625" customWidth="1"/>
    <col min="7" max="7" width="16.33203125" customWidth="1"/>
    <col min="8" max="8" width="29.83203125" customWidth="1"/>
    <col min="9" max="9" width="11.33203125" bestFit="1" customWidth="1"/>
  </cols>
  <sheetData>
    <row r="1" spans="1:8" x14ac:dyDescent="0.2">
      <c r="A1" s="132" t="s">
        <v>84</v>
      </c>
      <c r="B1" s="132"/>
      <c r="C1" s="132"/>
      <c r="D1" s="132"/>
    </row>
    <row r="2" spans="1:8" x14ac:dyDescent="0.2">
      <c r="A2" s="132"/>
      <c r="B2" s="132"/>
      <c r="C2" s="132"/>
      <c r="D2" s="132"/>
    </row>
    <row r="4" spans="1:8" ht="64" x14ac:dyDescent="0.2">
      <c r="A4" s="133" t="s">
        <v>33</v>
      </c>
      <c r="B4" s="133" t="s">
        <v>42</v>
      </c>
      <c r="C4" s="133" t="s">
        <v>41</v>
      </c>
      <c r="D4" s="130" t="s">
        <v>39</v>
      </c>
      <c r="E4" s="131"/>
      <c r="F4" s="131"/>
      <c r="G4" s="131"/>
      <c r="H4" s="21" t="s">
        <v>40</v>
      </c>
    </row>
    <row r="5" spans="1:8" ht="80" x14ac:dyDescent="0.2">
      <c r="A5" s="134"/>
      <c r="B5" s="134"/>
      <c r="C5" s="134"/>
      <c r="D5" s="21" t="s">
        <v>43</v>
      </c>
      <c r="E5" s="21" t="s">
        <v>38</v>
      </c>
      <c r="F5" s="21" t="s">
        <v>34</v>
      </c>
      <c r="G5" s="21" t="s">
        <v>35</v>
      </c>
      <c r="H5" s="21" t="s">
        <v>32</v>
      </c>
    </row>
    <row r="6" spans="1:8" x14ac:dyDescent="0.2">
      <c r="A6" s="23">
        <v>0</v>
      </c>
      <c r="B6" s="33">
        <f>100000</f>
        <v>100000</v>
      </c>
      <c r="C6" s="32">
        <f>B6</f>
        <v>100000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</row>
    <row r="7" spans="1:8" x14ac:dyDescent="0.2">
      <c r="A7" s="23">
        <v>1</v>
      </c>
      <c r="B7" s="32">
        <f>B6</f>
        <v>100000</v>
      </c>
      <c r="C7" s="32">
        <f>C6+B7</f>
        <v>200000</v>
      </c>
      <c r="D7" s="32">
        <v>0</v>
      </c>
      <c r="E7" s="32">
        <f t="shared" ref="E7" si="0">D7*(A7-2)</f>
        <v>0</v>
      </c>
      <c r="F7" s="32">
        <f>0</f>
        <v>0</v>
      </c>
      <c r="G7" s="32">
        <f t="shared" ref="G7:G30" si="1">SUM(E7:F7)</f>
        <v>0</v>
      </c>
      <c r="H7" s="32">
        <f>0</f>
        <v>0</v>
      </c>
    </row>
    <row r="8" spans="1:8" x14ac:dyDescent="0.2">
      <c r="A8" s="23">
        <v>2</v>
      </c>
      <c r="B8" s="32">
        <f>B6</f>
        <v>100000</v>
      </c>
      <c r="C8" s="32">
        <f t="shared" ref="C8:C30" si="2">C7+B8</f>
        <v>300000</v>
      </c>
      <c r="D8" s="32">
        <v>0</v>
      </c>
      <c r="E8" s="32">
        <v>0</v>
      </c>
      <c r="F8" s="32">
        <f>0</f>
        <v>0</v>
      </c>
      <c r="G8" s="32">
        <f t="shared" si="1"/>
        <v>0</v>
      </c>
      <c r="H8" s="32">
        <f>0</f>
        <v>0</v>
      </c>
    </row>
    <row r="9" spans="1:8" x14ac:dyDescent="0.2">
      <c r="A9" s="61">
        <v>3</v>
      </c>
      <c r="B9" s="62">
        <v>0</v>
      </c>
      <c r="C9" s="62">
        <f t="shared" si="2"/>
        <v>300000</v>
      </c>
      <c r="D9" s="62">
        <v>0</v>
      </c>
      <c r="E9" s="62">
        <f t="shared" ref="E9" si="3">D9*(A9-2)</f>
        <v>0</v>
      </c>
      <c r="F9" s="90">
        <f>300000*$B$6/100000</f>
        <v>300000</v>
      </c>
      <c r="G9" s="90">
        <f t="shared" si="1"/>
        <v>300000</v>
      </c>
      <c r="H9" s="62">
        <f>300000*$B$6/100000</f>
        <v>300000</v>
      </c>
    </row>
    <row r="10" spans="1:8" x14ac:dyDescent="0.2">
      <c r="A10" s="23">
        <v>4</v>
      </c>
      <c r="B10" s="32">
        <v>0</v>
      </c>
      <c r="C10" s="32">
        <f t="shared" si="2"/>
        <v>300000</v>
      </c>
      <c r="D10" s="32">
        <f>787.5*6*B6/100000</f>
        <v>4725</v>
      </c>
      <c r="E10" s="32">
        <f>D10</f>
        <v>4725</v>
      </c>
      <c r="F10" s="32">
        <f>300000*$B$6/100000</f>
        <v>300000</v>
      </c>
      <c r="G10" s="32">
        <f t="shared" si="1"/>
        <v>304725</v>
      </c>
      <c r="H10" s="32">
        <f>311625*$B$6/100000</f>
        <v>311625</v>
      </c>
    </row>
    <row r="11" spans="1:8" x14ac:dyDescent="0.2">
      <c r="A11" s="23">
        <v>5</v>
      </c>
      <c r="B11" s="32">
        <v>0</v>
      </c>
      <c r="C11" s="32">
        <f t="shared" si="2"/>
        <v>300000</v>
      </c>
      <c r="D11" s="32">
        <f>787.5*12*$B$6/100000</f>
        <v>9450</v>
      </c>
      <c r="E11" s="32">
        <f>D11*(A11-3.5)</f>
        <v>14175</v>
      </c>
      <c r="F11" s="32">
        <f>300500*$B$6/100000</f>
        <v>300500</v>
      </c>
      <c r="G11" s="32">
        <f t="shared" si="1"/>
        <v>314675</v>
      </c>
      <c r="H11" s="32">
        <f>321923*$B$6/100000</f>
        <v>321923</v>
      </c>
    </row>
    <row r="12" spans="1:8" x14ac:dyDescent="0.2">
      <c r="A12" s="23">
        <v>6</v>
      </c>
      <c r="B12" s="88">
        <v>0</v>
      </c>
      <c r="C12" s="88">
        <f t="shared" si="2"/>
        <v>300000</v>
      </c>
      <c r="D12" s="32">
        <f t="shared" ref="D12:D30" si="4">787.5*12*$B$6/100000</f>
        <v>9450</v>
      </c>
      <c r="E12" s="88">
        <f t="shared" ref="E12:E30" si="5">D12*(A12-3.5)</f>
        <v>23625</v>
      </c>
      <c r="F12" s="89">
        <f>300600*$B$6/100000</f>
        <v>300600</v>
      </c>
      <c r="G12" s="88">
        <f t="shared" si="1"/>
        <v>324225</v>
      </c>
      <c r="H12" s="88">
        <f>332116*$B$6/100000</f>
        <v>332116</v>
      </c>
    </row>
    <row r="13" spans="1:8" x14ac:dyDescent="0.2">
      <c r="A13" s="23">
        <v>7</v>
      </c>
      <c r="B13" s="32">
        <v>0</v>
      </c>
      <c r="C13" s="32">
        <f t="shared" si="2"/>
        <v>300000</v>
      </c>
      <c r="D13" s="32">
        <f t="shared" si="4"/>
        <v>9450</v>
      </c>
      <c r="E13" s="32">
        <f t="shared" si="5"/>
        <v>33075</v>
      </c>
      <c r="F13" s="32">
        <f>300700*$B$6/100000</f>
        <v>300700</v>
      </c>
      <c r="G13" s="32">
        <f t="shared" si="1"/>
        <v>333775</v>
      </c>
      <c r="H13" s="32">
        <f>342611*$B$6/100000</f>
        <v>342611</v>
      </c>
    </row>
    <row r="14" spans="1:8" x14ac:dyDescent="0.2">
      <c r="A14" s="23">
        <v>8</v>
      </c>
      <c r="B14" s="32">
        <v>0</v>
      </c>
      <c r="C14" s="32">
        <f t="shared" si="2"/>
        <v>300000</v>
      </c>
      <c r="D14" s="32">
        <f t="shared" si="4"/>
        <v>9450</v>
      </c>
      <c r="E14" s="32">
        <f t="shared" si="5"/>
        <v>42525</v>
      </c>
      <c r="F14" s="32">
        <f>302400*$B$6/100000</f>
        <v>302400</v>
      </c>
      <c r="G14" s="32">
        <f t="shared" si="1"/>
        <v>344925</v>
      </c>
      <c r="H14" s="32">
        <f>355019*$B$6/100000</f>
        <v>355019</v>
      </c>
    </row>
    <row r="15" spans="1:8" x14ac:dyDescent="0.2">
      <c r="A15" s="23">
        <v>9</v>
      </c>
      <c r="B15" s="32">
        <v>0</v>
      </c>
      <c r="C15" s="32">
        <f t="shared" si="2"/>
        <v>300000</v>
      </c>
      <c r="D15" s="32">
        <f t="shared" si="4"/>
        <v>9450</v>
      </c>
      <c r="E15" s="32">
        <f t="shared" si="5"/>
        <v>51975</v>
      </c>
      <c r="F15" s="32">
        <f>303600*$B$6/100000</f>
        <v>303600</v>
      </c>
      <c r="G15" s="32">
        <f t="shared" si="1"/>
        <v>355575</v>
      </c>
      <c r="H15" s="32">
        <f>367247*$B$6/100000</f>
        <v>367247</v>
      </c>
    </row>
    <row r="16" spans="1:8" x14ac:dyDescent="0.2">
      <c r="A16" s="23">
        <v>10</v>
      </c>
      <c r="B16" s="32">
        <v>0</v>
      </c>
      <c r="C16" s="32">
        <f t="shared" si="2"/>
        <v>300000</v>
      </c>
      <c r="D16" s="32">
        <f t="shared" si="4"/>
        <v>9450</v>
      </c>
      <c r="E16" s="32">
        <f t="shared" si="5"/>
        <v>61425</v>
      </c>
      <c r="F16" s="32">
        <f>306000*$B$6/100000</f>
        <v>306000</v>
      </c>
      <c r="G16" s="32">
        <f t="shared" si="1"/>
        <v>367425</v>
      </c>
      <c r="H16" s="32">
        <f>381007*$B$6/100000</f>
        <v>381007</v>
      </c>
    </row>
    <row r="17" spans="1:8" x14ac:dyDescent="0.2">
      <c r="A17" s="23">
        <v>11</v>
      </c>
      <c r="B17" s="32">
        <v>0</v>
      </c>
      <c r="C17" s="32">
        <f t="shared" si="2"/>
        <v>300000</v>
      </c>
      <c r="D17" s="32">
        <f t="shared" si="4"/>
        <v>9450</v>
      </c>
      <c r="E17" s="32">
        <f t="shared" si="5"/>
        <v>70875</v>
      </c>
      <c r="F17" s="32">
        <f>306600*$B$6/100000</f>
        <v>306600</v>
      </c>
      <c r="G17" s="32">
        <f t="shared" si="1"/>
        <v>377475</v>
      </c>
      <c r="H17" s="32">
        <f>393307*$B$6/100000</f>
        <v>393307</v>
      </c>
    </row>
    <row r="18" spans="1:8" x14ac:dyDescent="0.2">
      <c r="A18" s="23">
        <v>12</v>
      </c>
      <c r="B18" s="32">
        <v>0</v>
      </c>
      <c r="C18" s="32">
        <f t="shared" si="2"/>
        <v>300000</v>
      </c>
      <c r="D18" s="32">
        <f t="shared" si="4"/>
        <v>9450</v>
      </c>
      <c r="E18" s="32">
        <f t="shared" si="5"/>
        <v>80325</v>
      </c>
      <c r="F18" s="32">
        <f>307200*$B$6/100000</f>
        <v>307200</v>
      </c>
      <c r="G18" s="32">
        <f t="shared" si="1"/>
        <v>387525</v>
      </c>
      <c r="H18" s="32">
        <f>405957*$B$6/100000</f>
        <v>405957</v>
      </c>
    </row>
    <row r="19" spans="1:8" x14ac:dyDescent="0.2">
      <c r="A19" s="23">
        <v>13</v>
      </c>
      <c r="B19" s="32">
        <v>0</v>
      </c>
      <c r="C19" s="32">
        <f t="shared" si="2"/>
        <v>300000</v>
      </c>
      <c r="D19" s="32">
        <f t="shared" si="4"/>
        <v>9450</v>
      </c>
      <c r="E19" s="32">
        <f t="shared" si="5"/>
        <v>89775</v>
      </c>
      <c r="F19" s="32">
        <f>307800*$B$6/100000</f>
        <v>307800</v>
      </c>
      <c r="G19" s="32">
        <f t="shared" si="1"/>
        <v>397575</v>
      </c>
      <c r="H19" s="32">
        <f>418970*$B$6/100000</f>
        <v>418970</v>
      </c>
    </row>
    <row r="20" spans="1:8" x14ac:dyDescent="0.2">
      <c r="A20" s="23">
        <v>14</v>
      </c>
      <c r="B20" s="32">
        <v>0</v>
      </c>
      <c r="C20" s="32">
        <f t="shared" si="2"/>
        <v>300000</v>
      </c>
      <c r="D20" s="32">
        <f t="shared" si="4"/>
        <v>9450</v>
      </c>
      <c r="E20" s="32">
        <f t="shared" si="5"/>
        <v>99225</v>
      </c>
      <c r="F20" s="32">
        <f>308400*$B$6/100000</f>
        <v>308400</v>
      </c>
      <c r="G20" s="32">
        <f t="shared" si="1"/>
        <v>407625</v>
      </c>
      <c r="H20" s="32">
        <f>432355*$B$6/100000</f>
        <v>432355</v>
      </c>
    </row>
    <row r="21" spans="1:8" x14ac:dyDescent="0.2">
      <c r="A21" s="23">
        <v>15</v>
      </c>
      <c r="B21" s="32">
        <v>0</v>
      </c>
      <c r="C21" s="32">
        <f t="shared" si="2"/>
        <v>300000</v>
      </c>
      <c r="D21" s="32">
        <f t="shared" si="4"/>
        <v>9450</v>
      </c>
      <c r="E21" s="32">
        <f t="shared" si="5"/>
        <v>108675</v>
      </c>
      <c r="F21" s="32">
        <f>309000*$B$6/100000</f>
        <v>309000</v>
      </c>
      <c r="G21" s="32">
        <f t="shared" si="1"/>
        <v>417675</v>
      </c>
      <c r="H21" s="32">
        <f>446125*$B$6/100000</f>
        <v>446125</v>
      </c>
    </row>
    <row r="22" spans="1:8" x14ac:dyDescent="0.2">
      <c r="A22" s="23">
        <v>16</v>
      </c>
      <c r="B22" s="32">
        <v>0</v>
      </c>
      <c r="C22" s="32">
        <f t="shared" si="2"/>
        <v>300000</v>
      </c>
      <c r="D22" s="32">
        <f t="shared" si="4"/>
        <v>9450</v>
      </c>
      <c r="E22" s="32">
        <f t="shared" si="5"/>
        <v>118125</v>
      </c>
      <c r="F22" s="32">
        <f>309400*$B$6/100000</f>
        <v>309400</v>
      </c>
      <c r="G22" s="32">
        <f t="shared" si="1"/>
        <v>427525</v>
      </c>
      <c r="H22" s="32">
        <f>460288*$B$6/100000</f>
        <v>460288</v>
      </c>
    </row>
    <row r="23" spans="1:8" x14ac:dyDescent="0.2">
      <c r="A23" s="23">
        <v>17</v>
      </c>
      <c r="B23" s="32">
        <v>0</v>
      </c>
      <c r="C23" s="32">
        <f t="shared" si="2"/>
        <v>300000</v>
      </c>
      <c r="D23" s="32">
        <f t="shared" si="4"/>
        <v>9450</v>
      </c>
      <c r="E23" s="32">
        <f t="shared" si="5"/>
        <v>127575</v>
      </c>
      <c r="F23" s="32">
        <f>310200*$B$6/100000</f>
        <v>310200</v>
      </c>
      <c r="G23" s="32">
        <f t="shared" si="1"/>
        <v>437775</v>
      </c>
      <c r="H23" s="32">
        <f>474859*$B$6/100000</f>
        <v>474859</v>
      </c>
    </row>
    <row r="24" spans="1:8" x14ac:dyDescent="0.2">
      <c r="A24" s="23">
        <v>18</v>
      </c>
      <c r="B24" s="32">
        <v>0</v>
      </c>
      <c r="C24" s="32">
        <f t="shared" si="2"/>
        <v>300000</v>
      </c>
      <c r="D24" s="32">
        <f t="shared" si="4"/>
        <v>9450</v>
      </c>
      <c r="E24" s="32">
        <f t="shared" si="5"/>
        <v>137025</v>
      </c>
      <c r="F24" s="32">
        <f>310800*$B$6/100000</f>
        <v>310800</v>
      </c>
      <c r="G24" s="32">
        <f t="shared" si="1"/>
        <v>447825</v>
      </c>
      <c r="H24" s="32">
        <f>489849*$B$6/100000</f>
        <v>489849</v>
      </c>
    </row>
    <row r="25" spans="1:8" x14ac:dyDescent="0.2">
      <c r="A25" s="23">
        <v>19</v>
      </c>
      <c r="B25" s="32">
        <v>0</v>
      </c>
      <c r="C25" s="32">
        <f t="shared" si="2"/>
        <v>300000</v>
      </c>
      <c r="D25" s="32">
        <f t="shared" si="4"/>
        <v>9450</v>
      </c>
      <c r="E25" s="32">
        <f t="shared" si="5"/>
        <v>146475</v>
      </c>
      <c r="F25" s="32">
        <f>311400*$B$6/100000</f>
        <v>311400</v>
      </c>
      <c r="G25" s="32">
        <f t="shared" si="1"/>
        <v>457875</v>
      </c>
      <c r="H25" s="32">
        <f>505270*$B$6/100000</f>
        <v>505270</v>
      </c>
    </row>
    <row r="26" spans="1:8" x14ac:dyDescent="0.2">
      <c r="A26" s="23">
        <v>20</v>
      </c>
      <c r="B26" s="32">
        <v>0</v>
      </c>
      <c r="C26" s="32">
        <f t="shared" si="2"/>
        <v>300000</v>
      </c>
      <c r="D26" s="32">
        <f t="shared" si="4"/>
        <v>9450</v>
      </c>
      <c r="E26" s="32">
        <f t="shared" si="5"/>
        <v>155925</v>
      </c>
      <c r="F26" s="32">
        <f>314000*$B$6/100000</f>
        <v>314000</v>
      </c>
      <c r="G26" s="32">
        <f t="shared" si="1"/>
        <v>469925</v>
      </c>
      <c r="H26" s="32">
        <f>523137*$B$6/100000</f>
        <v>523137</v>
      </c>
    </row>
    <row r="27" spans="1:8" x14ac:dyDescent="0.2">
      <c r="A27" s="23">
        <v>25</v>
      </c>
      <c r="B27" s="32">
        <v>0</v>
      </c>
      <c r="C27" s="32">
        <f t="shared" si="2"/>
        <v>300000</v>
      </c>
      <c r="D27" s="32">
        <f t="shared" si="4"/>
        <v>9450</v>
      </c>
      <c r="E27" s="32">
        <f t="shared" si="5"/>
        <v>203175</v>
      </c>
      <c r="F27" s="32">
        <f>317500*$B$6/100000</f>
        <v>317500</v>
      </c>
      <c r="G27" s="32">
        <f t="shared" si="1"/>
        <v>520675</v>
      </c>
      <c r="H27" s="32">
        <f>610118*$B$6/100000</f>
        <v>610118</v>
      </c>
    </row>
    <row r="28" spans="1:8" x14ac:dyDescent="0.2">
      <c r="A28" s="23">
        <v>30</v>
      </c>
      <c r="B28" s="32">
        <v>0</v>
      </c>
      <c r="C28" s="32">
        <f t="shared" si="2"/>
        <v>300000</v>
      </c>
      <c r="D28" s="32">
        <f t="shared" si="4"/>
        <v>9450</v>
      </c>
      <c r="E28" s="32">
        <f t="shared" si="5"/>
        <v>250425</v>
      </c>
      <c r="F28" s="32">
        <f>321000*$B$6/100000</f>
        <v>321000</v>
      </c>
      <c r="G28" s="32">
        <f t="shared" si="1"/>
        <v>571425</v>
      </c>
      <c r="H28" s="32">
        <f>710396*$B$6/100000</f>
        <v>710396</v>
      </c>
    </row>
    <row r="29" spans="1:8" x14ac:dyDescent="0.2">
      <c r="A29" s="23">
        <v>35</v>
      </c>
      <c r="B29" s="32">
        <v>0</v>
      </c>
      <c r="C29" s="32">
        <f t="shared" si="2"/>
        <v>300000</v>
      </c>
      <c r="D29" s="32">
        <f t="shared" si="4"/>
        <v>9450</v>
      </c>
      <c r="E29" s="32">
        <f t="shared" si="5"/>
        <v>297675</v>
      </c>
      <c r="F29" s="32">
        <f>324500*$B$6/100000</f>
        <v>324500</v>
      </c>
      <c r="G29" s="32">
        <f t="shared" si="1"/>
        <v>622175</v>
      </c>
      <c r="H29" s="32">
        <f>826088*$B$6/100000</f>
        <v>826088</v>
      </c>
    </row>
    <row r="30" spans="1:8" x14ac:dyDescent="0.2">
      <c r="A30" s="23">
        <v>40</v>
      </c>
      <c r="B30" s="32">
        <v>0</v>
      </c>
      <c r="C30" s="32">
        <f t="shared" si="2"/>
        <v>300000</v>
      </c>
      <c r="D30" s="32">
        <f t="shared" si="4"/>
        <v>9450</v>
      </c>
      <c r="E30" s="32">
        <f t="shared" si="5"/>
        <v>344925</v>
      </c>
      <c r="F30" s="32">
        <f>332000*$B$6/100000</f>
        <v>332000</v>
      </c>
      <c r="G30" s="32">
        <f t="shared" si="1"/>
        <v>676925</v>
      </c>
      <c r="H30" s="32">
        <f>963650</f>
        <v>963650</v>
      </c>
    </row>
    <row r="32" spans="1:8" x14ac:dyDescent="0.2">
      <c r="A32" s="78" t="s">
        <v>76</v>
      </c>
    </row>
  </sheetData>
  <mergeCells count="5">
    <mergeCell ref="A1:D2"/>
    <mergeCell ref="A4:A5"/>
    <mergeCell ref="B4:B5"/>
    <mergeCell ref="C4:C5"/>
    <mergeCell ref="D4:G4"/>
  </mergeCells>
  <phoneticPr fontId="6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A543-91FE-BD4F-B70E-DDDF0E66B14B}">
  <dimension ref="B2:H55"/>
  <sheetViews>
    <sheetView showGridLines="0" topLeftCell="A7" zoomScale="165" zoomScaleNormal="120" workbookViewId="0">
      <selection activeCell="D5" sqref="D5"/>
    </sheetView>
  </sheetViews>
  <sheetFormatPr baseColWidth="10" defaultColWidth="10.6640625" defaultRowHeight="15" x14ac:dyDescent="0.2"/>
  <cols>
    <col min="4" max="4" width="13.83203125" bestFit="1" customWidth="1"/>
    <col min="5" max="5" width="12.6640625" bestFit="1" customWidth="1"/>
    <col min="6" max="6" width="14.1640625" bestFit="1" customWidth="1"/>
    <col min="7" max="7" width="12.6640625" bestFit="1" customWidth="1"/>
    <col min="8" max="8" width="14.1640625" bestFit="1" customWidth="1"/>
  </cols>
  <sheetData>
    <row r="2" spans="2:8" x14ac:dyDescent="0.2">
      <c r="B2" s="76"/>
      <c r="C2" s="99" t="s">
        <v>48</v>
      </c>
      <c r="D2" s="101" t="s">
        <v>49</v>
      </c>
      <c r="E2" s="103" t="s">
        <v>50</v>
      </c>
      <c r="F2" s="104"/>
      <c r="G2" s="104"/>
      <c r="H2" s="105"/>
    </row>
    <row r="3" spans="2:8" x14ac:dyDescent="0.2">
      <c r="B3" s="77"/>
      <c r="C3" s="100"/>
      <c r="D3" s="102"/>
      <c r="E3" s="106">
        <v>7.0000000000000007E-2</v>
      </c>
      <c r="F3" s="107"/>
      <c r="G3" s="107"/>
      <c r="H3" s="108"/>
    </row>
    <row r="4" spans="2:8" ht="15" customHeight="1" x14ac:dyDescent="0.2">
      <c r="B4" s="112" t="s">
        <v>44</v>
      </c>
      <c r="C4" s="51">
        <v>0</v>
      </c>
      <c r="D4" s="52">
        <v>36000</v>
      </c>
      <c r="E4" s="109">
        <f>D4</f>
        <v>36000</v>
      </c>
      <c r="F4" s="110"/>
      <c r="G4" s="110"/>
      <c r="H4" s="111"/>
    </row>
    <row r="5" spans="2:8" x14ac:dyDescent="0.2">
      <c r="B5" s="112"/>
      <c r="C5" s="51">
        <v>1</v>
      </c>
      <c r="D5" s="52">
        <f>D4</f>
        <v>36000</v>
      </c>
      <c r="E5" s="109">
        <f>E4*(1+$E$3)+D5</f>
        <v>74520</v>
      </c>
      <c r="F5" s="110"/>
      <c r="G5" s="110"/>
      <c r="H5" s="111"/>
    </row>
    <row r="6" spans="2:8" x14ac:dyDescent="0.2">
      <c r="B6" s="112"/>
      <c r="C6" s="51">
        <v>2</v>
      </c>
      <c r="D6" s="52">
        <f t="shared" ref="D6:D13" si="0">D5</f>
        <v>36000</v>
      </c>
      <c r="E6" s="109">
        <f t="shared" ref="E6:E19" si="1">E5*(1+$E$3)+D6</f>
        <v>115736.40000000001</v>
      </c>
      <c r="F6" s="110"/>
      <c r="G6" s="110"/>
      <c r="H6" s="111"/>
    </row>
    <row r="7" spans="2:8" x14ac:dyDescent="0.2">
      <c r="B7" s="112"/>
      <c r="C7" s="51">
        <v>3</v>
      </c>
      <c r="D7" s="52">
        <f t="shared" si="0"/>
        <v>36000</v>
      </c>
      <c r="E7" s="109">
        <f t="shared" si="1"/>
        <v>159837.94800000003</v>
      </c>
      <c r="F7" s="110"/>
      <c r="G7" s="110"/>
      <c r="H7" s="111"/>
    </row>
    <row r="8" spans="2:8" x14ac:dyDescent="0.2">
      <c r="B8" s="112"/>
      <c r="C8" s="51">
        <v>4</v>
      </c>
      <c r="D8" s="52">
        <f t="shared" si="0"/>
        <v>36000</v>
      </c>
      <c r="E8" s="109">
        <f t="shared" si="1"/>
        <v>207026.60436000006</v>
      </c>
      <c r="F8" s="110"/>
      <c r="G8" s="110"/>
      <c r="H8" s="111"/>
    </row>
    <row r="9" spans="2:8" x14ac:dyDescent="0.2">
      <c r="B9" s="112"/>
      <c r="C9" s="51">
        <v>5</v>
      </c>
      <c r="D9" s="52">
        <f t="shared" si="0"/>
        <v>36000</v>
      </c>
      <c r="E9" s="109">
        <f t="shared" si="1"/>
        <v>257518.46666520007</v>
      </c>
      <c r="F9" s="110"/>
      <c r="G9" s="110"/>
      <c r="H9" s="111"/>
    </row>
    <row r="10" spans="2:8" x14ac:dyDescent="0.2">
      <c r="B10" s="112"/>
      <c r="C10" s="51">
        <v>6</v>
      </c>
      <c r="D10" s="52">
        <f t="shared" si="0"/>
        <v>36000</v>
      </c>
      <c r="E10" s="109">
        <f t="shared" si="1"/>
        <v>311544.75933176407</v>
      </c>
      <c r="F10" s="110"/>
      <c r="G10" s="110"/>
      <c r="H10" s="111"/>
    </row>
    <row r="11" spans="2:8" x14ac:dyDescent="0.2">
      <c r="B11" s="112"/>
      <c r="C11" s="51">
        <v>7</v>
      </c>
      <c r="D11" s="52">
        <f t="shared" si="0"/>
        <v>36000</v>
      </c>
      <c r="E11" s="109">
        <f t="shared" si="1"/>
        <v>369352.89248498756</v>
      </c>
      <c r="F11" s="110"/>
      <c r="G11" s="110"/>
      <c r="H11" s="111"/>
    </row>
    <row r="12" spans="2:8" x14ac:dyDescent="0.2">
      <c r="B12" s="112"/>
      <c r="C12" s="51">
        <v>8</v>
      </c>
      <c r="D12" s="52">
        <f t="shared" si="0"/>
        <v>36000</v>
      </c>
      <c r="E12" s="109">
        <f t="shared" si="1"/>
        <v>431207.59495893674</v>
      </c>
      <c r="F12" s="110"/>
      <c r="G12" s="110"/>
      <c r="H12" s="111"/>
    </row>
    <row r="13" spans="2:8" x14ac:dyDescent="0.2">
      <c r="B13" s="112"/>
      <c r="C13" s="51">
        <v>9</v>
      </c>
      <c r="D13" s="52">
        <f t="shared" si="0"/>
        <v>36000</v>
      </c>
      <c r="E13" s="109">
        <f t="shared" si="1"/>
        <v>497392.12660606235</v>
      </c>
      <c r="F13" s="110"/>
      <c r="G13" s="110"/>
      <c r="H13" s="111"/>
    </row>
    <row r="14" spans="2:8" x14ac:dyDescent="0.2">
      <c r="B14" s="112"/>
      <c r="C14" s="51">
        <v>10</v>
      </c>
      <c r="D14" s="53">
        <v>0</v>
      </c>
      <c r="E14" s="109">
        <f t="shared" si="1"/>
        <v>532209.57546848676</v>
      </c>
      <c r="F14" s="110"/>
      <c r="G14" s="110"/>
      <c r="H14" s="111"/>
    </row>
    <row r="15" spans="2:8" x14ac:dyDescent="0.2">
      <c r="B15" s="112"/>
      <c r="C15" s="51">
        <f>C14+1</f>
        <v>11</v>
      </c>
      <c r="D15" s="53">
        <v>0</v>
      </c>
      <c r="E15" s="109">
        <f t="shared" si="1"/>
        <v>569464.24575128092</v>
      </c>
      <c r="F15" s="110"/>
      <c r="G15" s="110"/>
      <c r="H15" s="111"/>
    </row>
    <row r="16" spans="2:8" x14ac:dyDescent="0.2">
      <c r="B16" s="112"/>
      <c r="C16" s="51">
        <f t="shared" ref="C16:C52" si="2">C15+1</f>
        <v>12</v>
      </c>
      <c r="D16" s="53">
        <v>0</v>
      </c>
      <c r="E16" s="109">
        <f t="shared" si="1"/>
        <v>609326.74295387056</v>
      </c>
      <c r="F16" s="110"/>
      <c r="G16" s="110"/>
      <c r="H16" s="111"/>
    </row>
    <row r="17" spans="2:8" x14ac:dyDescent="0.2">
      <c r="B17" s="112"/>
      <c r="C17" s="51">
        <f t="shared" si="2"/>
        <v>13</v>
      </c>
      <c r="D17" s="53">
        <v>0</v>
      </c>
      <c r="E17" s="109">
        <f t="shared" si="1"/>
        <v>651979.61496064148</v>
      </c>
      <c r="F17" s="110"/>
      <c r="G17" s="110"/>
      <c r="H17" s="111"/>
    </row>
    <row r="18" spans="2:8" x14ac:dyDescent="0.2">
      <c r="B18" s="112"/>
      <c r="C18" s="51">
        <f t="shared" si="2"/>
        <v>14</v>
      </c>
      <c r="D18" s="53">
        <v>0</v>
      </c>
      <c r="E18" s="109">
        <f t="shared" si="1"/>
        <v>697618.18800788641</v>
      </c>
      <c r="F18" s="110"/>
      <c r="G18" s="110"/>
      <c r="H18" s="111"/>
    </row>
    <row r="19" spans="2:8" x14ac:dyDescent="0.2">
      <c r="B19" s="112"/>
      <c r="C19" s="51">
        <f t="shared" si="2"/>
        <v>15</v>
      </c>
      <c r="D19" s="53">
        <v>0</v>
      </c>
      <c r="E19" s="109">
        <f t="shared" si="1"/>
        <v>746451.46116843855</v>
      </c>
      <c r="F19" s="110"/>
      <c r="G19" s="110"/>
      <c r="H19" s="111"/>
    </row>
    <row r="20" spans="2:8" ht="26" customHeight="1" x14ac:dyDescent="0.2">
      <c r="B20" s="136" t="s">
        <v>45</v>
      </c>
      <c r="C20" s="54"/>
      <c r="D20" s="55"/>
      <c r="E20" s="92" t="s">
        <v>46</v>
      </c>
      <c r="F20" s="93"/>
      <c r="G20" s="138" t="s">
        <v>47</v>
      </c>
      <c r="H20" s="139"/>
    </row>
    <row r="21" spans="2:8" ht="48" x14ac:dyDescent="0.2">
      <c r="B21" s="136"/>
      <c r="C21" s="54"/>
      <c r="D21" s="55"/>
      <c r="E21" s="47" t="s">
        <v>52</v>
      </c>
      <c r="F21" s="96" t="s">
        <v>51</v>
      </c>
      <c r="G21" s="48" t="s">
        <v>53</v>
      </c>
      <c r="H21" s="140" t="s">
        <v>51</v>
      </c>
    </row>
    <row r="22" spans="2:8" ht="23" customHeight="1" x14ac:dyDescent="0.2">
      <c r="B22" s="136"/>
      <c r="C22" s="54"/>
      <c r="D22" s="55"/>
      <c r="E22" s="49">
        <f>4%</f>
        <v>0.04</v>
      </c>
      <c r="F22" s="96"/>
      <c r="G22" s="50">
        <f>2%</f>
        <v>0.02</v>
      </c>
      <c r="H22" s="140"/>
    </row>
    <row r="23" spans="2:8" x14ac:dyDescent="0.2">
      <c r="B23" s="136"/>
      <c r="C23" s="56">
        <f>C19+1</f>
        <v>16</v>
      </c>
      <c r="D23" s="57">
        <v>0</v>
      </c>
      <c r="E23" s="36">
        <f t="shared" ref="E23:E52" si="3">$E$19*$E$22</f>
        <v>29858.058446737541</v>
      </c>
      <c r="F23" s="37">
        <f>$E$19</f>
        <v>746451.46116843855</v>
      </c>
      <c r="G23" s="38">
        <f>PMT($G$22,30,-$E$19,0,0)</f>
        <v>33328.999736967882</v>
      </c>
      <c r="H23" s="39">
        <f>E19*(1+$G$22)-G23</f>
        <v>728051.49065483944</v>
      </c>
    </row>
    <row r="24" spans="2:8" x14ac:dyDescent="0.2">
      <c r="B24" s="136"/>
      <c r="C24" s="56">
        <f t="shared" si="2"/>
        <v>17</v>
      </c>
      <c r="D24" s="57">
        <v>0</v>
      </c>
      <c r="E24" s="40">
        <f t="shared" si="3"/>
        <v>29858.058446737541</v>
      </c>
      <c r="F24" s="41">
        <f t="shared" ref="F24:F52" si="4">$E$19</f>
        <v>746451.46116843855</v>
      </c>
      <c r="G24" s="38">
        <f t="shared" ref="G24:G52" si="5">PMT($G$22,30,-$E$19,0,0)</f>
        <v>33328.999736967882</v>
      </c>
      <c r="H24" s="43">
        <f>H23*(1+$G$22)-G24</f>
        <v>709283.52073096845</v>
      </c>
    </row>
    <row r="25" spans="2:8" x14ac:dyDescent="0.2">
      <c r="B25" s="136"/>
      <c r="C25" s="56">
        <f t="shared" si="2"/>
        <v>18</v>
      </c>
      <c r="D25" s="57">
        <v>0</v>
      </c>
      <c r="E25" s="40">
        <f t="shared" si="3"/>
        <v>29858.058446737541</v>
      </c>
      <c r="F25" s="41">
        <f t="shared" si="4"/>
        <v>746451.46116843855</v>
      </c>
      <c r="G25" s="38">
        <f t="shared" si="5"/>
        <v>33328.999736967882</v>
      </c>
      <c r="H25" s="43">
        <f t="shared" ref="H25:H52" si="6">H24*(1+$G$22)-G25</f>
        <v>690140.19140861998</v>
      </c>
    </row>
    <row r="26" spans="2:8" ht="15" customHeight="1" x14ac:dyDescent="0.2">
      <c r="B26" s="136"/>
      <c r="C26" s="56">
        <f>C25+1</f>
        <v>19</v>
      </c>
      <c r="D26" s="57">
        <v>0</v>
      </c>
      <c r="E26" s="40">
        <f t="shared" si="3"/>
        <v>29858.058446737541</v>
      </c>
      <c r="F26" s="41">
        <f t="shared" si="4"/>
        <v>746451.46116843855</v>
      </c>
      <c r="G26" s="38">
        <f t="shared" si="5"/>
        <v>33328.999736967882</v>
      </c>
      <c r="H26" s="43">
        <f t="shared" si="6"/>
        <v>670613.99549982452</v>
      </c>
    </row>
    <row r="27" spans="2:8" x14ac:dyDescent="0.2">
      <c r="B27" s="136"/>
      <c r="C27" s="56">
        <f t="shared" si="2"/>
        <v>20</v>
      </c>
      <c r="D27" s="57">
        <v>0</v>
      </c>
      <c r="E27" s="40">
        <f t="shared" si="3"/>
        <v>29858.058446737541</v>
      </c>
      <c r="F27" s="41">
        <f t="shared" si="4"/>
        <v>746451.46116843855</v>
      </c>
      <c r="G27" s="38">
        <f t="shared" si="5"/>
        <v>33328.999736967882</v>
      </c>
      <c r="H27" s="43">
        <f t="shared" si="6"/>
        <v>650697.27567285323</v>
      </c>
    </row>
    <row r="28" spans="2:8" x14ac:dyDescent="0.2">
      <c r="B28" s="136"/>
      <c r="C28" s="56">
        <f t="shared" si="2"/>
        <v>21</v>
      </c>
      <c r="D28" s="57">
        <v>0</v>
      </c>
      <c r="E28" s="40">
        <f t="shared" si="3"/>
        <v>29858.058446737541</v>
      </c>
      <c r="F28" s="41">
        <f t="shared" si="4"/>
        <v>746451.46116843855</v>
      </c>
      <c r="G28" s="38">
        <f t="shared" si="5"/>
        <v>33328.999736967882</v>
      </c>
      <c r="H28" s="43">
        <f t="shared" si="6"/>
        <v>630382.22144934244</v>
      </c>
    </row>
    <row r="29" spans="2:8" x14ac:dyDescent="0.2">
      <c r="B29" s="136"/>
      <c r="C29" s="56">
        <f t="shared" si="2"/>
        <v>22</v>
      </c>
      <c r="D29" s="57">
        <v>0</v>
      </c>
      <c r="E29" s="40">
        <f t="shared" si="3"/>
        <v>29858.058446737541</v>
      </c>
      <c r="F29" s="41">
        <f t="shared" si="4"/>
        <v>746451.46116843855</v>
      </c>
      <c r="G29" s="38">
        <f t="shared" si="5"/>
        <v>33328.999736967882</v>
      </c>
      <c r="H29" s="43">
        <f t="shared" si="6"/>
        <v>609660.86614136142</v>
      </c>
    </row>
    <row r="30" spans="2:8" x14ac:dyDescent="0.2">
      <c r="B30" s="136"/>
      <c r="C30" s="56">
        <f t="shared" si="2"/>
        <v>23</v>
      </c>
      <c r="D30" s="57">
        <v>0</v>
      </c>
      <c r="E30" s="40">
        <f t="shared" si="3"/>
        <v>29858.058446737541</v>
      </c>
      <c r="F30" s="41">
        <f t="shared" si="4"/>
        <v>746451.46116843855</v>
      </c>
      <c r="G30" s="38">
        <f t="shared" si="5"/>
        <v>33328.999736967882</v>
      </c>
      <c r="H30" s="43">
        <f t="shared" si="6"/>
        <v>588525.08372722077</v>
      </c>
    </row>
    <row r="31" spans="2:8" x14ac:dyDescent="0.2">
      <c r="B31" s="136"/>
      <c r="C31" s="56">
        <f t="shared" si="2"/>
        <v>24</v>
      </c>
      <c r="D31" s="57">
        <v>0</v>
      </c>
      <c r="E31" s="40">
        <f t="shared" si="3"/>
        <v>29858.058446737541</v>
      </c>
      <c r="F31" s="41">
        <f t="shared" si="4"/>
        <v>746451.46116843855</v>
      </c>
      <c r="G31" s="38">
        <f t="shared" si="5"/>
        <v>33328.999736967882</v>
      </c>
      <c r="H31" s="43">
        <f t="shared" si="6"/>
        <v>566966.58566479734</v>
      </c>
    </row>
    <row r="32" spans="2:8" x14ac:dyDescent="0.2">
      <c r="B32" s="136"/>
      <c r="C32" s="56">
        <f t="shared" si="2"/>
        <v>25</v>
      </c>
      <c r="D32" s="57">
        <v>0</v>
      </c>
      <c r="E32" s="40">
        <f t="shared" si="3"/>
        <v>29858.058446737541</v>
      </c>
      <c r="F32" s="41">
        <f t="shared" si="4"/>
        <v>746451.46116843855</v>
      </c>
      <c r="G32" s="38">
        <f t="shared" si="5"/>
        <v>33328.999736967882</v>
      </c>
      <c r="H32" s="43">
        <f t="shared" si="6"/>
        <v>544976.9176411255</v>
      </c>
    </row>
    <row r="33" spans="2:8" x14ac:dyDescent="0.2">
      <c r="B33" s="136"/>
      <c r="C33" s="56">
        <f t="shared" si="2"/>
        <v>26</v>
      </c>
      <c r="D33" s="57">
        <v>0</v>
      </c>
      <c r="E33" s="40">
        <f t="shared" si="3"/>
        <v>29858.058446737541</v>
      </c>
      <c r="F33" s="41">
        <f t="shared" si="4"/>
        <v>746451.46116843855</v>
      </c>
      <c r="G33" s="38">
        <f t="shared" si="5"/>
        <v>33328.999736967882</v>
      </c>
      <c r="H33" s="43">
        <f t="shared" si="6"/>
        <v>522547.45625698013</v>
      </c>
    </row>
    <row r="34" spans="2:8" x14ac:dyDescent="0.2">
      <c r="B34" s="136"/>
      <c r="C34" s="56">
        <f t="shared" si="2"/>
        <v>27</v>
      </c>
      <c r="D34" s="57">
        <v>0</v>
      </c>
      <c r="E34" s="40">
        <f t="shared" si="3"/>
        <v>29858.058446737541</v>
      </c>
      <c r="F34" s="41">
        <f t="shared" si="4"/>
        <v>746451.46116843855</v>
      </c>
      <c r="G34" s="38">
        <f t="shared" si="5"/>
        <v>33328.999736967882</v>
      </c>
      <c r="H34" s="43">
        <f t="shared" si="6"/>
        <v>499669.4056451518</v>
      </c>
    </row>
    <row r="35" spans="2:8" x14ac:dyDescent="0.2">
      <c r="B35" s="136"/>
      <c r="C35" s="56">
        <f t="shared" si="2"/>
        <v>28</v>
      </c>
      <c r="D35" s="57">
        <v>0</v>
      </c>
      <c r="E35" s="40">
        <f t="shared" si="3"/>
        <v>29858.058446737541</v>
      </c>
      <c r="F35" s="41">
        <f t="shared" si="4"/>
        <v>746451.46116843855</v>
      </c>
      <c r="G35" s="38">
        <f t="shared" si="5"/>
        <v>33328.999736967882</v>
      </c>
      <c r="H35" s="43">
        <f t="shared" si="6"/>
        <v>476333.79402108694</v>
      </c>
    </row>
    <row r="36" spans="2:8" x14ac:dyDescent="0.2">
      <c r="B36" s="136"/>
      <c r="C36" s="56">
        <f>C35+1</f>
        <v>29</v>
      </c>
      <c r="D36" s="57">
        <v>0</v>
      </c>
      <c r="E36" s="40">
        <f t="shared" si="3"/>
        <v>29858.058446737541</v>
      </c>
      <c r="F36" s="41">
        <f t="shared" si="4"/>
        <v>746451.46116843855</v>
      </c>
      <c r="G36" s="38">
        <f t="shared" si="5"/>
        <v>33328.999736967882</v>
      </c>
      <c r="H36" s="43">
        <f t="shared" si="6"/>
        <v>452531.47016454081</v>
      </c>
    </row>
    <row r="37" spans="2:8" x14ac:dyDescent="0.2">
      <c r="B37" s="136"/>
      <c r="C37" s="56">
        <f t="shared" si="2"/>
        <v>30</v>
      </c>
      <c r="D37" s="57">
        <v>0</v>
      </c>
      <c r="E37" s="40">
        <f t="shared" si="3"/>
        <v>29858.058446737541</v>
      </c>
      <c r="F37" s="41">
        <f t="shared" si="4"/>
        <v>746451.46116843855</v>
      </c>
      <c r="G37" s="38">
        <f t="shared" si="5"/>
        <v>33328.999736967882</v>
      </c>
      <c r="H37" s="43">
        <f t="shared" si="6"/>
        <v>428253.09983086371</v>
      </c>
    </row>
    <row r="38" spans="2:8" x14ac:dyDescent="0.2">
      <c r="B38" s="136"/>
      <c r="C38" s="56">
        <f t="shared" si="2"/>
        <v>31</v>
      </c>
      <c r="D38" s="58"/>
      <c r="E38" s="40">
        <f t="shared" si="3"/>
        <v>29858.058446737541</v>
      </c>
      <c r="F38" s="41">
        <f t="shared" si="4"/>
        <v>746451.46116843855</v>
      </c>
      <c r="G38" s="38">
        <f t="shared" si="5"/>
        <v>33328.999736967882</v>
      </c>
      <c r="H38" s="43">
        <f t="shared" si="6"/>
        <v>403489.1620905131</v>
      </c>
    </row>
    <row r="39" spans="2:8" x14ac:dyDescent="0.2">
      <c r="B39" s="136"/>
      <c r="C39" s="56">
        <f t="shared" si="2"/>
        <v>32</v>
      </c>
      <c r="D39" s="58"/>
      <c r="E39" s="40">
        <f t="shared" si="3"/>
        <v>29858.058446737541</v>
      </c>
      <c r="F39" s="41">
        <f t="shared" si="4"/>
        <v>746451.46116843855</v>
      </c>
      <c r="G39" s="38">
        <f t="shared" si="5"/>
        <v>33328.999736967882</v>
      </c>
      <c r="H39" s="43">
        <f t="shared" si="6"/>
        <v>378229.94559535547</v>
      </c>
    </row>
    <row r="40" spans="2:8" x14ac:dyDescent="0.2">
      <c r="B40" s="136"/>
      <c r="C40" s="56">
        <f t="shared" si="2"/>
        <v>33</v>
      </c>
      <c r="D40" s="58"/>
      <c r="E40" s="40">
        <f t="shared" si="3"/>
        <v>29858.058446737541</v>
      </c>
      <c r="F40" s="41">
        <f t="shared" si="4"/>
        <v>746451.46116843855</v>
      </c>
      <c r="G40" s="38">
        <f t="shared" si="5"/>
        <v>33328.999736967882</v>
      </c>
      <c r="H40" s="43">
        <f t="shared" si="6"/>
        <v>352465.54477029468</v>
      </c>
    </row>
    <row r="41" spans="2:8" x14ac:dyDescent="0.2">
      <c r="B41" s="136"/>
      <c r="C41" s="56">
        <f t="shared" si="2"/>
        <v>34</v>
      </c>
      <c r="D41" s="58"/>
      <c r="E41" s="40">
        <f t="shared" si="3"/>
        <v>29858.058446737541</v>
      </c>
      <c r="F41" s="41">
        <f t="shared" si="4"/>
        <v>746451.46116843855</v>
      </c>
      <c r="G41" s="38">
        <f t="shared" si="5"/>
        <v>33328.999736967882</v>
      </c>
      <c r="H41" s="43">
        <f t="shared" si="6"/>
        <v>326185.85592873266</v>
      </c>
    </row>
    <row r="42" spans="2:8" x14ac:dyDescent="0.2">
      <c r="B42" s="136"/>
      <c r="C42" s="56">
        <f t="shared" si="2"/>
        <v>35</v>
      </c>
      <c r="D42" s="58"/>
      <c r="E42" s="40">
        <f t="shared" si="3"/>
        <v>29858.058446737541</v>
      </c>
      <c r="F42" s="41">
        <f t="shared" si="4"/>
        <v>746451.46116843855</v>
      </c>
      <c r="G42" s="38">
        <f t="shared" si="5"/>
        <v>33328.999736967882</v>
      </c>
      <c r="H42" s="43">
        <f t="shared" si="6"/>
        <v>299380.57331033942</v>
      </c>
    </row>
    <row r="43" spans="2:8" x14ac:dyDescent="0.2">
      <c r="B43" s="136"/>
      <c r="C43" s="56">
        <f t="shared" si="2"/>
        <v>36</v>
      </c>
      <c r="D43" s="58"/>
      <c r="E43" s="40">
        <f t="shared" si="3"/>
        <v>29858.058446737541</v>
      </c>
      <c r="F43" s="41">
        <f t="shared" si="4"/>
        <v>746451.46116843855</v>
      </c>
      <c r="G43" s="38">
        <f t="shared" si="5"/>
        <v>33328.999736967882</v>
      </c>
      <c r="H43" s="43">
        <f t="shared" si="6"/>
        <v>272039.1850395783</v>
      </c>
    </row>
    <row r="44" spans="2:8" x14ac:dyDescent="0.2">
      <c r="B44" s="136"/>
      <c r="C44" s="56">
        <f t="shared" si="2"/>
        <v>37</v>
      </c>
      <c r="D44" s="58"/>
      <c r="E44" s="40">
        <f t="shared" si="3"/>
        <v>29858.058446737541</v>
      </c>
      <c r="F44" s="41">
        <f t="shared" si="4"/>
        <v>746451.46116843855</v>
      </c>
      <c r="G44" s="38">
        <f t="shared" si="5"/>
        <v>33328.999736967882</v>
      </c>
      <c r="H44" s="43">
        <f t="shared" si="6"/>
        <v>244150.96900340202</v>
      </c>
    </row>
    <row r="45" spans="2:8" x14ac:dyDescent="0.2">
      <c r="B45" s="136"/>
      <c r="C45" s="56">
        <f t="shared" si="2"/>
        <v>38</v>
      </c>
      <c r="D45" s="58"/>
      <c r="E45" s="40">
        <f t="shared" si="3"/>
        <v>29858.058446737541</v>
      </c>
      <c r="F45" s="41">
        <f t="shared" si="4"/>
        <v>746451.46116843855</v>
      </c>
      <c r="G45" s="38">
        <f t="shared" si="5"/>
        <v>33328.999736967882</v>
      </c>
      <c r="H45" s="43">
        <f t="shared" si="6"/>
        <v>215704.9886465022</v>
      </c>
    </row>
    <row r="46" spans="2:8" x14ac:dyDescent="0.2">
      <c r="B46" s="136"/>
      <c r="C46" s="56">
        <f t="shared" si="2"/>
        <v>39</v>
      </c>
      <c r="D46" s="58"/>
      <c r="E46" s="40">
        <f t="shared" si="3"/>
        <v>29858.058446737541</v>
      </c>
      <c r="F46" s="41">
        <f t="shared" si="4"/>
        <v>746451.46116843855</v>
      </c>
      <c r="G46" s="38">
        <f t="shared" si="5"/>
        <v>33328.999736967882</v>
      </c>
      <c r="H46" s="43">
        <f t="shared" si="6"/>
        <v>186690.08868246438</v>
      </c>
    </row>
    <row r="47" spans="2:8" x14ac:dyDescent="0.2">
      <c r="B47" s="136"/>
      <c r="C47" s="56">
        <f t="shared" si="2"/>
        <v>40</v>
      </c>
      <c r="D47" s="58"/>
      <c r="E47" s="40">
        <f t="shared" si="3"/>
        <v>29858.058446737541</v>
      </c>
      <c r="F47" s="41">
        <f t="shared" si="4"/>
        <v>746451.46116843855</v>
      </c>
      <c r="G47" s="38">
        <f t="shared" si="5"/>
        <v>33328.999736967882</v>
      </c>
      <c r="H47" s="43">
        <f t="shared" si="6"/>
        <v>157094.8907191458</v>
      </c>
    </row>
    <row r="48" spans="2:8" x14ac:dyDescent="0.2">
      <c r="B48" s="136"/>
      <c r="C48" s="56">
        <f t="shared" si="2"/>
        <v>41</v>
      </c>
      <c r="D48" s="58"/>
      <c r="E48" s="40">
        <f t="shared" si="3"/>
        <v>29858.058446737541</v>
      </c>
      <c r="F48" s="41">
        <f t="shared" si="4"/>
        <v>746451.46116843855</v>
      </c>
      <c r="G48" s="38">
        <f t="shared" si="5"/>
        <v>33328.999736967882</v>
      </c>
      <c r="H48" s="43">
        <f t="shared" si="6"/>
        <v>126907.78879656084</v>
      </c>
    </row>
    <row r="49" spans="2:8" x14ac:dyDescent="0.2">
      <c r="B49" s="136"/>
      <c r="C49" s="56">
        <f t="shared" si="2"/>
        <v>42</v>
      </c>
      <c r="D49" s="58"/>
      <c r="E49" s="40">
        <f t="shared" si="3"/>
        <v>29858.058446737541</v>
      </c>
      <c r="F49" s="41">
        <f t="shared" si="4"/>
        <v>746451.46116843855</v>
      </c>
      <c r="G49" s="38">
        <f t="shared" si="5"/>
        <v>33328.999736967882</v>
      </c>
      <c r="H49" s="43">
        <f t="shared" si="6"/>
        <v>96116.944835524162</v>
      </c>
    </row>
    <row r="50" spans="2:8" x14ac:dyDescent="0.2">
      <c r="B50" s="136"/>
      <c r="C50" s="56">
        <f t="shared" si="2"/>
        <v>43</v>
      </c>
      <c r="D50" s="58"/>
      <c r="E50" s="40">
        <f t="shared" si="3"/>
        <v>29858.058446737541</v>
      </c>
      <c r="F50" s="41">
        <f t="shared" si="4"/>
        <v>746451.46116843855</v>
      </c>
      <c r="G50" s="38">
        <f t="shared" si="5"/>
        <v>33328.999736967882</v>
      </c>
      <c r="H50" s="43">
        <f t="shared" si="6"/>
        <v>64710.283995266764</v>
      </c>
    </row>
    <row r="51" spans="2:8" x14ac:dyDescent="0.2">
      <c r="B51" s="136"/>
      <c r="C51" s="56">
        <f t="shared" si="2"/>
        <v>44</v>
      </c>
      <c r="D51" s="58"/>
      <c r="E51" s="40">
        <f t="shared" si="3"/>
        <v>29858.058446737541</v>
      </c>
      <c r="F51" s="41">
        <f t="shared" si="4"/>
        <v>746451.46116843855</v>
      </c>
      <c r="G51" s="38">
        <f t="shared" si="5"/>
        <v>33328.999736967882</v>
      </c>
      <c r="H51" s="43">
        <f t="shared" si="6"/>
        <v>32675.489938204213</v>
      </c>
    </row>
    <row r="52" spans="2:8" x14ac:dyDescent="0.2">
      <c r="B52" s="137"/>
      <c r="C52" s="59">
        <f t="shared" si="2"/>
        <v>45</v>
      </c>
      <c r="D52" s="60"/>
      <c r="E52" s="44">
        <f t="shared" si="3"/>
        <v>29858.058446737541</v>
      </c>
      <c r="F52" s="45">
        <f t="shared" si="4"/>
        <v>746451.46116843855</v>
      </c>
      <c r="G52" s="38">
        <f t="shared" si="5"/>
        <v>33328.999736967882</v>
      </c>
      <c r="H52" s="46">
        <f t="shared" si="6"/>
        <v>4.1472958400845528E-10</v>
      </c>
    </row>
    <row r="55" spans="2:8" x14ac:dyDescent="0.2">
      <c r="B55" t="s">
        <v>77</v>
      </c>
    </row>
  </sheetData>
  <mergeCells count="26">
    <mergeCell ref="E3:H3"/>
    <mergeCell ref="E2:H2"/>
    <mergeCell ref="B20:B52"/>
    <mergeCell ref="G20:H20"/>
    <mergeCell ref="H21:H22"/>
    <mergeCell ref="F21:F22"/>
    <mergeCell ref="E4:H4"/>
    <mergeCell ref="E5:H5"/>
    <mergeCell ref="E6:H6"/>
    <mergeCell ref="E7:H7"/>
    <mergeCell ref="E8:H8"/>
    <mergeCell ref="E9:H9"/>
    <mergeCell ref="E10:H10"/>
    <mergeCell ref="D2:D3"/>
    <mergeCell ref="C2:C3"/>
    <mergeCell ref="B4:B19"/>
    <mergeCell ref="E20:F20"/>
    <mergeCell ref="E11:H11"/>
    <mergeCell ref="E12:H12"/>
    <mergeCell ref="E13:H13"/>
    <mergeCell ref="E16:H16"/>
    <mergeCell ref="E17:H17"/>
    <mergeCell ref="E18:H18"/>
    <mergeCell ref="E19:H19"/>
    <mergeCell ref="E14:H14"/>
    <mergeCell ref="E15:H15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GRI_MR</vt:lpstr>
      <vt:lpstr>GRI_MS</vt:lpstr>
      <vt:lpstr>PLR</vt:lpstr>
      <vt:lpstr>Sheet4</vt:lpstr>
      <vt:lpstr>UT-FI-15</vt:lpstr>
      <vt:lpstr>UT-FI-10</vt:lpstr>
      <vt:lpstr>GIA_illustration (2)</vt:lpstr>
      <vt:lpstr>GIA_illustration</vt:lpstr>
      <vt:lpstr>Combi</vt:lpstr>
      <vt:lpstr>GLP3</vt:lpstr>
      <vt:lpstr>UT-FI-ver1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Yang</dc:creator>
  <cp:lastModifiedBy>Yang Yang</cp:lastModifiedBy>
  <dcterms:created xsi:type="dcterms:W3CDTF">2023-05-21T01:21:54Z</dcterms:created>
  <dcterms:modified xsi:type="dcterms:W3CDTF">2026-07-07T03:10:23Z</dcterms:modified>
</cp:coreProperties>
</file>